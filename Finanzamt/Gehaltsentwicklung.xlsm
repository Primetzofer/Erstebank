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Finanzamt/"/>
    </mc:Choice>
  </mc:AlternateContent>
  <xr:revisionPtr revIDLastSave="1533" documentId="14_{AAB01648-B134-45D1-8E7E-AE6C432A9548}" xr6:coauthVersionLast="47" xr6:coauthVersionMax="47" xr10:uidLastSave="{2432A7B8-CF74-4D10-BFBA-4493440D8894}"/>
  <bookViews>
    <workbookView xWindow="20385" yWindow="11325" windowWidth="35115" windowHeight="13950" xr2:uid="{08B45A22-47C9-4241-B7AE-BBCA1360B248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3" i="1" l="1"/>
  <c r="V12" i="1"/>
  <c r="C21" i="1"/>
  <c r="A9" i="1"/>
  <c r="B66" i="1"/>
  <c r="C66" i="1"/>
  <c r="D60" i="1"/>
  <c r="C60" i="1"/>
  <c r="S21" i="1"/>
  <c r="T21" i="1" s="1"/>
  <c r="R21" i="1"/>
  <c r="D57" i="1" s="1"/>
  <c r="J57" i="1" s="1"/>
  <c r="I57" i="1" s="1"/>
  <c r="K57" i="1" s="1"/>
  <c r="Q21" i="1"/>
  <c r="D56" i="1" s="1"/>
  <c r="E56" i="1" s="1"/>
  <c r="P21" i="1"/>
  <c r="D55" i="1" s="1"/>
  <c r="O21" i="1"/>
  <c r="D58" i="1"/>
  <c r="D59" i="1"/>
  <c r="H61" i="1"/>
  <c r="H60" i="1"/>
  <c r="N66" i="1"/>
  <c r="J58" i="1"/>
  <c r="I58" i="1" s="1"/>
  <c r="K58" i="1" s="1"/>
  <c r="J59" i="1"/>
  <c r="I59" i="1" s="1"/>
  <c r="L59" i="1"/>
  <c r="L58" i="1"/>
  <c r="H42" i="1"/>
  <c r="H59" i="1"/>
  <c r="K41" i="1"/>
  <c r="I50" i="1"/>
  <c r="I51" i="1"/>
  <c r="J41" i="1"/>
  <c r="H43" i="1"/>
  <c r="H44" i="1"/>
  <c r="H45" i="1"/>
  <c r="H46" i="1"/>
  <c r="H47" i="1"/>
  <c r="H48" i="1"/>
  <c r="H49" i="1"/>
  <c r="H52" i="1"/>
  <c r="H53" i="1"/>
  <c r="H54" i="1"/>
  <c r="H55" i="1"/>
  <c r="H56" i="1"/>
  <c r="H57" i="1"/>
  <c r="H58" i="1"/>
  <c r="M21" i="1"/>
  <c r="D52" i="1" s="1"/>
  <c r="E58" i="1"/>
  <c r="E59" i="1"/>
  <c r="E41" i="1"/>
  <c r="G51" i="1"/>
  <c r="D42" i="1"/>
  <c r="D21" i="1"/>
  <c r="D43" i="1" s="1"/>
  <c r="D13" i="1"/>
  <c r="D16" i="1"/>
  <c r="D15" i="1"/>
  <c r="D17" i="1" s="1"/>
  <c r="D20" i="1" s="1"/>
  <c r="D11" i="1" s="1"/>
  <c r="G43" i="1" s="1"/>
  <c r="D14" i="1"/>
  <c r="C15" i="1"/>
  <c r="C17" i="1" s="1"/>
  <c r="C20" i="1" s="1"/>
  <c r="C11" i="1" s="1"/>
  <c r="G42" i="1" s="1"/>
  <c r="C13" i="1"/>
  <c r="C14" i="1"/>
  <c r="D12" i="1"/>
  <c r="C12" i="1"/>
  <c r="C16" i="1"/>
  <c r="C61" i="1"/>
  <c r="U12" i="1"/>
  <c r="S30" i="1"/>
  <c r="S31" i="1" s="1"/>
  <c r="S33" i="1" s="1"/>
  <c r="M25" i="1"/>
  <c r="M26" i="1" s="1"/>
  <c r="C25" i="1"/>
  <c r="D25" i="1"/>
  <c r="E25" i="1"/>
  <c r="F25" i="1"/>
  <c r="G25" i="1"/>
  <c r="H25" i="1"/>
  <c r="I25" i="1"/>
  <c r="J25" i="1"/>
  <c r="K25" i="1"/>
  <c r="L25" i="1"/>
  <c r="N25" i="1"/>
  <c r="N26" i="1" s="1"/>
  <c r="O25" i="1"/>
  <c r="O26" i="1" s="1"/>
  <c r="P25" i="1"/>
  <c r="P26" i="1" s="1"/>
  <c r="Q25" i="1"/>
  <c r="Q26" i="1" s="1"/>
  <c r="R25" i="1"/>
  <c r="R26" i="1" s="1"/>
  <c r="S25" i="1"/>
  <c r="S26" i="1" s="1"/>
  <c r="N21" i="1"/>
  <c r="D53" i="1" s="1"/>
  <c r="J53" i="1" s="1"/>
  <c r="I53" i="1" s="1"/>
  <c r="K53" i="1" s="1"/>
  <c r="D54" i="1"/>
  <c r="L54" i="1" s="1"/>
  <c r="H21" i="1"/>
  <c r="D47" i="1" s="1"/>
  <c r="E47" i="1" s="1"/>
  <c r="I21" i="1"/>
  <c r="D48" i="1" s="1"/>
  <c r="E48" i="1" s="1"/>
  <c r="J21" i="1"/>
  <c r="D49" i="1" s="1"/>
  <c r="J49" i="1" s="1"/>
  <c r="I49" i="1" s="1"/>
  <c r="K49" i="1" s="1"/>
  <c r="K21" i="1"/>
  <c r="D50" i="1" s="1"/>
  <c r="E50" i="1" s="1"/>
  <c r="B21" i="1"/>
  <c r="G21" i="1"/>
  <c r="D46" i="1" s="1"/>
  <c r="E46" i="1" s="1"/>
  <c r="S16" i="1"/>
  <c r="S17" i="1" s="1"/>
  <c r="S20" i="1" s="1"/>
  <c r="S11" i="1" s="1"/>
  <c r="G58" i="1" s="1"/>
  <c r="R16" i="1"/>
  <c r="R17" i="1" s="1"/>
  <c r="R20" i="1" s="1"/>
  <c r="R11" i="1" s="1"/>
  <c r="G57" i="1" s="1"/>
  <c r="Q16" i="1"/>
  <c r="Q17" i="1" s="1"/>
  <c r="Q20" i="1" s="1"/>
  <c r="Q11" i="1" s="1"/>
  <c r="G56" i="1" s="1"/>
  <c r="P16" i="1"/>
  <c r="P17" i="1" s="1"/>
  <c r="P20" i="1" s="1"/>
  <c r="P11" i="1" s="1"/>
  <c r="G55" i="1" s="1"/>
  <c r="O16" i="1"/>
  <c r="O17" i="1" s="1"/>
  <c r="O20" i="1" s="1"/>
  <c r="O11" i="1" s="1"/>
  <c r="G54" i="1" s="1"/>
  <c r="N16" i="1"/>
  <c r="N17" i="1" s="1"/>
  <c r="N20" i="1" s="1"/>
  <c r="N11" i="1" s="1"/>
  <c r="G53" i="1" s="1"/>
  <c r="M17" i="1"/>
  <c r="M20" i="1" s="1"/>
  <c r="M11" i="1" s="1"/>
  <c r="G52" i="1" s="1"/>
  <c r="J16" i="1"/>
  <c r="K16" i="1"/>
  <c r="K14" i="1"/>
  <c r="K15" i="1" s="1"/>
  <c r="J14" i="1"/>
  <c r="J15" i="1" s="1"/>
  <c r="I16" i="1"/>
  <c r="I14" i="1"/>
  <c r="I15" i="1" s="1"/>
  <c r="H14" i="1"/>
  <c r="H15" i="1" s="1"/>
  <c r="H16" i="1"/>
  <c r="G16" i="1"/>
  <c r="G14" i="1"/>
  <c r="G15" i="1" s="1"/>
  <c r="E14" i="1"/>
  <c r="E15" i="1" s="1"/>
  <c r="E16" i="1"/>
  <c r="F21" i="1"/>
  <c r="D45" i="1" s="1"/>
  <c r="J45" i="1" s="1"/>
  <c r="I45" i="1" s="1"/>
  <c r="K45" i="1" s="1"/>
  <c r="F16" i="1"/>
  <c r="F14" i="1"/>
  <c r="E21" i="1"/>
  <c r="D44" i="1" s="1"/>
  <c r="J44" i="1" s="1"/>
  <c r="I44" i="1" s="1"/>
  <c r="K44" i="1" s="1"/>
  <c r="A12" i="1"/>
  <c r="E6" i="1"/>
  <c r="B15" i="1" s="1"/>
  <c r="E4" i="1"/>
  <c r="B12" i="1" s="1"/>
  <c r="C5" i="1"/>
  <c r="E5" i="1" s="1"/>
  <c r="B16" i="1" s="1"/>
  <c r="E45" i="1" l="1"/>
  <c r="E44" i="1"/>
  <c r="J48" i="1"/>
  <c r="I48" i="1" s="1"/>
  <c r="K48" i="1" s="1"/>
  <c r="J47" i="1"/>
  <c r="I47" i="1" s="1"/>
  <c r="K47" i="1" s="1"/>
  <c r="E53" i="1"/>
  <c r="J55" i="1"/>
  <c r="I55" i="1" s="1"/>
  <c r="K55" i="1" s="1"/>
  <c r="E55" i="1"/>
  <c r="J43" i="1"/>
  <c r="I43" i="1" s="1"/>
  <c r="K43" i="1" s="1"/>
  <c r="E43" i="1"/>
  <c r="J42" i="1"/>
  <c r="I42" i="1" s="1"/>
  <c r="K42" i="1" s="1"/>
  <c r="E42" i="1"/>
  <c r="E52" i="1"/>
  <c r="J52" i="1"/>
  <c r="I52" i="1" s="1"/>
  <c r="K52" i="1" s="1"/>
  <c r="L52" i="1"/>
  <c r="E49" i="1"/>
  <c r="J46" i="1"/>
  <c r="I46" i="1" s="1"/>
  <c r="K46" i="1" s="1"/>
  <c r="J54" i="1"/>
  <c r="I54" i="1" s="1"/>
  <c r="K54" i="1" s="1"/>
  <c r="L53" i="1"/>
  <c r="L57" i="1"/>
  <c r="E57" i="1"/>
  <c r="L56" i="1"/>
  <c r="J56" i="1"/>
  <c r="I56" i="1" s="1"/>
  <c r="K56" i="1" s="1"/>
  <c r="L55" i="1"/>
  <c r="E54" i="1"/>
  <c r="G17" i="1"/>
  <c r="G20" i="1" s="1"/>
  <c r="G11" i="1" s="1"/>
  <c r="G46" i="1" s="1"/>
  <c r="E17" i="1"/>
  <c r="E20" i="1" s="1"/>
  <c r="E11" i="1" s="1"/>
  <c r="G44" i="1" s="1"/>
  <c r="J17" i="1"/>
  <c r="J20" i="1" s="1"/>
  <c r="J11" i="1" s="1"/>
  <c r="G49" i="1" s="1"/>
  <c r="K17" i="1"/>
  <c r="K20" i="1" s="1"/>
  <c r="K11" i="1" s="1"/>
  <c r="G50" i="1" s="1"/>
  <c r="H17" i="1"/>
  <c r="H20" i="1" s="1"/>
  <c r="H11" i="1" s="1"/>
  <c r="G47" i="1" s="1"/>
  <c r="I17" i="1"/>
  <c r="I20" i="1" s="1"/>
  <c r="I11" i="1" s="1"/>
  <c r="G48" i="1" s="1"/>
  <c r="B25" i="1"/>
  <c r="B17" i="1"/>
  <c r="B20" i="1" s="1"/>
  <c r="B11" i="1" s="1"/>
  <c r="G41" i="1" s="1"/>
  <c r="F15" i="1"/>
  <c r="F17" i="1" s="1"/>
  <c r="F20" i="1" s="1"/>
  <c r="F11" i="1" s="1"/>
  <c r="G45" i="1" s="1"/>
  <c r="E7" i="1"/>
  <c r="D5" i="1"/>
  <c r="D7" i="1" s="1"/>
  <c r="E3" i="1"/>
  <c r="I60" i="1" l="1"/>
  <c r="I61" i="1" s="1"/>
  <c r="B26" i="1"/>
</calcChain>
</file>

<file path=xl/sharedStrings.xml><?xml version="1.0" encoding="utf-8"?>
<sst xmlns="http://schemas.openxmlformats.org/spreadsheetml/2006/main" count="110" uniqueCount="99">
  <si>
    <t>JAHRESABRECHNUNG AUFSTELLUNG</t>
  </si>
  <si>
    <t>Jahresbrutto</t>
  </si>
  <si>
    <t>Jahresgrundgehalt brutto</t>
  </si>
  <si>
    <t>mtl.</t>
  </si>
  <si>
    <t>qtl.</t>
  </si>
  <si>
    <t>ab 01.03.2005</t>
  </si>
  <si>
    <t>38,5h</t>
  </si>
  <si>
    <t>Arbeitszeitfaktor</t>
  </si>
  <si>
    <t>Grundgehalt mtl</t>
  </si>
  <si>
    <t>mtl. Überstpauschale 25h</t>
  </si>
  <si>
    <t>Vertragsentgelt</t>
  </si>
  <si>
    <t>Sonderzahlung</t>
  </si>
  <si>
    <t>jhl.</t>
  </si>
  <si>
    <t>Bonus</t>
  </si>
  <si>
    <t>Überstundenpauschale</t>
  </si>
  <si>
    <t>Überstundenpauschle-zuschlag</t>
  </si>
  <si>
    <t xml:space="preserve"> </t>
  </si>
  <si>
    <t>equity struc</t>
  </si>
  <si>
    <t>fund &amp; extotic equ. Deriv.</t>
  </si>
  <si>
    <t>maternity leave</t>
  </si>
  <si>
    <t>Geburtsbeihilfe</t>
  </si>
  <si>
    <t>Collaterl Trading a Optimisation</t>
  </si>
  <si>
    <t>Vertrag jhl.</t>
  </si>
  <si>
    <t>Dienstvertrag</t>
  </si>
  <si>
    <t>Rebasing</t>
  </si>
  <si>
    <t>Üstd total</t>
  </si>
  <si>
    <t>jhl glv Steigung</t>
  </si>
  <si>
    <t>k</t>
  </si>
  <si>
    <t xml:space="preserve">5.825,30        </t>
  </si>
  <si>
    <t>Vertragsentgelt jhl.</t>
  </si>
  <si>
    <t>Vertragsentgelt mtl.</t>
  </si>
  <si>
    <t>Date</t>
  </si>
  <si>
    <t>PX_LAST</t>
  </si>
  <si>
    <t xml:space="preserve">CPTFEMU  Index                                                  </t>
  </si>
  <si>
    <t>DI Alexandra Primetzhofer</t>
  </si>
  <si>
    <t>Documentation of salary development</t>
  </si>
  <si>
    <t>Name:</t>
  </si>
  <si>
    <t>OE:</t>
  </si>
  <si>
    <t>0196 0663 Collateral Trading, Mgmt a. Optimisation</t>
  </si>
  <si>
    <t>Institut:</t>
  </si>
  <si>
    <t>Erste Group</t>
  </si>
  <si>
    <t>salary mtl. brutto</t>
  </si>
  <si>
    <t>years:</t>
  </si>
  <si>
    <t>AZF</t>
  </si>
  <si>
    <t>allin</t>
  </si>
  <si>
    <t>salary annual brutto</t>
  </si>
  <si>
    <t>cpi</t>
  </si>
  <si>
    <t>salary</t>
  </si>
  <si>
    <r>
      <rPr>
        <sz val="11"/>
        <color rgb="FFFF0000"/>
        <rFont val="Arial"/>
        <family val="2"/>
      </rPr>
      <t>inflation adjusted</t>
    </r>
    <r>
      <rPr>
        <sz val="11"/>
        <color theme="1"/>
        <rFont val="Arial"/>
        <family val="2"/>
      </rPr>
      <t xml:space="preserve"> 2005-20023</t>
    </r>
  </si>
  <si>
    <t>k outperformance</t>
  </si>
  <si>
    <t>salary performance</t>
  </si>
  <si>
    <t>k outperformance p.a.</t>
  </si>
  <si>
    <t>t</t>
  </si>
  <si>
    <t xml:space="preserve">static hedging of </t>
  </si>
  <si>
    <t>products</t>
  </si>
  <si>
    <t xml:space="preserve">daily valuations </t>
  </si>
  <si>
    <t>dynamic hedging of</t>
  </si>
  <si>
    <t xml:space="preserve">cppi portfolio </t>
  </si>
  <si>
    <t>retail clients &amp; Sparkassen</t>
  </si>
  <si>
    <t>structured products</t>
  </si>
  <si>
    <t xml:space="preserve">portfolio for </t>
  </si>
  <si>
    <t>instiutional clients</t>
  </si>
  <si>
    <t>dnaymic hedged funds</t>
  </si>
  <si>
    <t>intensive collaboration with Asset Mgmt Teams</t>
  </si>
  <si>
    <t>Group Equity Trading and Structuring</t>
  </si>
  <si>
    <t>Collateral Trading, Mgmt a. Optimisation</t>
  </si>
  <si>
    <t>Triparty Report</t>
  </si>
  <si>
    <t>Programming</t>
  </si>
  <si>
    <t>Calypso Valuations</t>
  </si>
  <si>
    <t>mdx queries</t>
  </si>
  <si>
    <t>implementation</t>
  </si>
  <si>
    <t xml:space="preserve">improvements </t>
  </si>
  <si>
    <t>optimisation</t>
  </si>
  <si>
    <t>of bond portfolio</t>
  </si>
  <si>
    <t xml:space="preserve">new program </t>
  </si>
  <si>
    <t>language</t>
  </si>
  <si>
    <t xml:space="preserve">deepening of </t>
  </si>
  <si>
    <t xml:space="preserve">IT skills </t>
  </si>
  <si>
    <t>of data science</t>
  </si>
  <si>
    <t xml:space="preserve">projects </t>
  </si>
  <si>
    <t>Active UI</t>
  </si>
  <si>
    <t>update</t>
  </si>
  <si>
    <t>- transfer backend know-how</t>
  </si>
  <si>
    <t>- sucessful implementation of atoti update</t>
  </si>
  <si>
    <t xml:space="preserve"> - increase data access via atoti</t>
  </si>
  <si>
    <t xml:space="preserve"> - modifiy gui of atoti</t>
  </si>
  <si>
    <t>- deep data science project with Atoti</t>
  </si>
  <si>
    <t>- combine Atoti with Repo Admin tool (collin)</t>
  </si>
  <si>
    <t xml:space="preserve">Secondary markt prices </t>
  </si>
  <si>
    <t>trades in Frankfur &amp; VIE</t>
  </si>
  <si>
    <t>Stock Exchange</t>
  </si>
  <si>
    <t>Hedging</t>
  </si>
  <si>
    <t>of structured</t>
  </si>
  <si>
    <t xml:space="preserve">equiy retail </t>
  </si>
  <si>
    <t>portfolio</t>
  </si>
  <si>
    <t xml:space="preserve">CZK bonds </t>
  </si>
  <si>
    <t>equity structured</t>
  </si>
  <si>
    <t>group presentations</t>
  </si>
  <si>
    <t>2023 1/7/23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</si>
</sst>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General\ &quot;Jahre&quot;"/>
    <numFmt numFmtId="167" formatCode="dd\.mm\.yyyy"/>
  </numFmts>
  <fonts count="47" x14ac:knownFonts="1">
    <font>
      <sz val="11"/>
      <color theme="1"/>
      <name val="Inter"/>
      <family val="2"/>
    </font>
    <font>
      <sz val="11"/>
      <color theme="1"/>
      <name val="Inter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-0.249977111117893"/>
      <name val="Arial"/>
      <family val="2"/>
    </font>
    <font>
      <sz val="11"/>
      <color theme="5"/>
      <name val="Arial"/>
      <family val="2"/>
    </font>
    <font>
      <b/>
      <sz val="11"/>
      <color theme="5"/>
      <name val="Arial"/>
      <family val="2"/>
    </font>
    <font>
      <sz val="11"/>
      <color theme="7" tint="-0.249977111117893"/>
      <name val="Arial"/>
      <family val="2"/>
    </font>
    <font>
      <b/>
      <sz val="11"/>
      <color theme="7" tint="-0.249977111117893"/>
      <name val="Arial"/>
      <family val="2"/>
    </font>
    <font>
      <sz val="11"/>
      <color rgb="FF7030A0"/>
      <name val="Arial"/>
      <family val="2"/>
    </font>
    <font>
      <b/>
      <sz val="11"/>
      <color rgb="FF7030A0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11"/>
      <color rgb="FF00B050"/>
      <name val="Arial"/>
      <family val="2"/>
    </font>
    <font>
      <b/>
      <sz val="11"/>
      <color rgb="FF00B050"/>
      <name val="Arial"/>
      <family val="2"/>
    </font>
    <font>
      <b/>
      <sz val="11"/>
      <color theme="7" tint="0.79998168889431442"/>
      <name val="Arial"/>
      <family val="2"/>
    </font>
    <font>
      <sz val="11"/>
      <color theme="7" tint="0.79998168889431442"/>
      <name val="Arial"/>
      <family val="2"/>
    </font>
    <font>
      <b/>
      <sz val="16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0070C0"/>
      <name val="Arial"/>
      <family val="2"/>
    </font>
    <font>
      <sz val="11"/>
      <color rgb="FF0070C0"/>
      <name val="Arial"/>
      <family val="2"/>
    </font>
    <font>
      <sz val="9"/>
      <color theme="1"/>
      <name val="Arial"/>
      <family val="2"/>
    </font>
    <font>
      <i/>
      <sz val="11"/>
      <color theme="1"/>
      <name val="Arial"/>
      <family val="2"/>
    </font>
    <font>
      <sz val="11"/>
      <color theme="0"/>
      <name val="Inter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  <font>
      <sz val="11"/>
      <color rgb="FF7030A0"/>
      <name val="Arial"/>
    </font>
    <font>
      <b/>
      <sz val="11"/>
      <color rgb="FF7030A0"/>
      <name val="Arial"/>
    </font>
    <font>
      <b/>
      <sz val="11"/>
      <color rgb="FF222222"/>
      <name val="Arial"/>
    </font>
    <font>
      <b/>
      <sz val="11"/>
      <color rgb="FF00B050"/>
      <name val="Arial"/>
    </font>
    <font>
      <b/>
      <sz val="11"/>
      <color rgb="FF0070C0"/>
      <name val="Arial"/>
    </font>
    <font>
      <b/>
      <sz val="11"/>
      <color theme="5"/>
      <name val="Arial"/>
    </font>
    <font>
      <b/>
      <sz val="11"/>
      <color theme="1"/>
      <name val="Arial"/>
    </font>
    <font>
      <b/>
      <sz val="11"/>
      <color rgb="FFFF0000"/>
      <name val="Arial"/>
    </font>
    <font>
      <sz val="11"/>
      <color theme="7" tint="0.79998168889431442"/>
      <name val="Arial"/>
    </font>
    <font>
      <sz val="11"/>
      <color rgb="FF222222"/>
      <name val="Arial"/>
    </font>
    <font>
      <sz val="9"/>
      <color theme="1"/>
      <name val="Arial"/>
    </font>
    <font>
      <b/>
      <u val="doubleAccounting"/>
      <sz val="14"/>
      <color rgb="FF002060"/>
      <name val="Arial"/>
    </font>
    <font>
      <u/>
      <sz val="11"/>
      <color theme="10"/>
      <name val="Inter"/>
      <family val="2"/>
    </font>
    <font>
      <sz val="11"/>
      <color theme="1"/>
      <name val="Arial"/>
    </font>
    <font>
      <sz val="18"/>
      <color theme="1"/>
      <name val="Arial"/>
      <family val="2"/>
    </font>
    <font>
      <sz val="11"/>
      <color theme="9" tint="-0.249977111117893"/>
      <name val="Arial"/>
    </font>
    <font>
      <b/>
      <i/>
      <sz val="11"/>
      <color theme="1"/>
      <name val="Arial"/>
      <family val="2"/>
    </font>
    <font>
      <b/>
      <sz val="16"/>
      <color rgb="FFFF0000"/>
      <name val="Arial"/>
      <family val="2"/>
    </font>
    <font>
      <i/>
      <sz val="10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bgColor theme="0" tint="-4.9989318521683403E-2"/>
      </patternFill>
    </fill>
    <fill>
      <patternFill patternType="gray125">
        <bgColor theme="6" tint="0.79998168889431442"/>
      </patternFill>
    </fill>
    <fill>
      <patternFill patternType="gray125">
        <bgColor theme="9" tint="0.79998168889431442"/>
      </patternFill>
    </fill>
    <fill>
      <patternFill patternType="gray125">
        <bgColor theme="7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CCFF"/>
        <bgColor indexed="64"/>
      </patternFill>
    </fill>
    <fill>
      <patternFill patternType="gray125">
        <bgColor rgb="FFCCCC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gray125">
        <bgColor theme="0"/>
      </patternFill>
    </fill>
    <fill>
      <patternFill patternType="solid">
        <fgColor theme="3" tint="0.79998168889431442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2" tint="-0.89999084444715716"/>
      </top>
      <bottom style="thin">
        <color indexed="64"/>
      </bottom>
      <diagonal/>
    </border>
    <border>
      <left/>
      <right/>
      <top style="medium">
        <color theme="2" tint="-0.89999084444715716"/>
      </top>
      <bottom style="thin">
        <color indexed="64"/>
      </bottom>
      <diagonal/>
    </border>
    <border>
      <left/>
      <right style="medium">
        <color indexed="64"/>
      </right>
      <top style="medium">
        <color theme="2" tint="-0.89999084444715716"/>
      </top>
      <bottom style="thin">
        <color indexed="64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70C0"/>
      </right>
      <top style="thin">
        <color indexed="64"/>
      </top>
      <bottom style="thin">
        <color indexed="64"/>
      </bottom>
      <diagonal/>
    </border>
    <border>
      <left/>
      <right style="thin">
        <color rgb="FF0070C0"/>
      </right>
      <top style="thin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indexed="64"/>
      </bottom>
      <diagonal/>
    </border>
    <border>
      <left/>
      <right/>
      <top style="medium">
        <color theme="2" tint="-0.89999084444715716"/>
      </top>
      <bottom style="medium">
        <color indexed="64"/>
      </bottom>
      <diagonal/>
    </border>
    <border>
      <left style="thin">
        <color indexed="64"/>
      </left>
      <right style="thin">
        <color rgb="FF0070C0"/>
      </right>
      <top/>
      <bottom style="thin">
        <color indexed="64"/>
      </bottom>
      <diagonal/>
    </border>
    <border>
      <left/>
      <right style="thin">
        <color rgb="FF0070C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 style="medium">
        <color theme="2" tint="-0.8999908444471571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rgb="FF0070C0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70C0"/>
      </right>
      <top/>
      <bottom style="thin">
        <color indexed="64"/>
      </bottom>
      <diagonal/>
    </border>
    <border>
      <left style="medium">
        <color indexed="64"/>
      </left>
      <right style="thin">
        <color rgb="FF0070C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70C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theme="2" tint="-0.8999908444471571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2" tint="-0.89999084444715716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70C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rgb="FF0070C0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40" fillId="0" borderId="0" applyNumberFormat="0" applyFill="0" applyBorder="0" applyAlignment="0" applyProtection="0"/>
  </cellStyleXfs>
  <cellXfs count="310">
    <xf numFmtId="0" fontId="0" fillId="0" borderId="0" xfId="0"/>
    <xf numFmtId="0" fontId="4" fillId="3" borderId="0" xfId="0" applyFont="1" applyFill="1"/>
    <xf numFmtId="0" fontId="4" fillId="2" borderId="0" xfId="0" applyFont="1" applyFill="1"/>
    <xf numFmtId="0" fontId="4" fillId="0" borderId="0" xfId="0" applyFont="1"/>
    <xf numFmtId="14" fontId="4" fillId="3" borderId="0" xfId="0" applyNumberFormat="1" applyFont="1" applyFill="1"/>
    <xf numFmtId="43" fontId="5" fillId="0" borderId="0" xfId="1" applyFont="1" applyBorder="1"/>
    <xf numFmtId="43" fontId="6" fillId="0" borderId="0" xfId="1" applyFont="1" applyBorder="1"/>
    <xf numFmtId="0" fontId="7" fillId="0" borderId="2" xfId="0" applyFont="1" applyBorder="1" applyAlignment="1">
      <alignment horizontal="right" vertical="center" wrapText="1" indent="1"/>
    </xf>
    <xf numFmtId="43" fontId="8" fillId="0" borderId="0" xfId="1" applyFont="1" applyBorder="1"/>
    <xf numFmtId="43" fontId="7" fillId="0" borderId="0" xfId="1" applyFont="1" applyBorder="1"/>
    <xf numFmtId="0" fontId="9" fillId="5" borderId="1" xfId="0" applyFont="1" applyFill="1" applyBorder="1" applyAlignment="1">
      <alignment horizontal="right" vertical="center" wrapText="1"/>
    </xf>
    <xf numFmtId="164" fontId="9" fillId="5" borderId="1" xfId="1" applyNumberFormat="1" applyFont="1" applyFill="1" applyBorder="1" applyAlignment="1">
      <alignment vertical="center"/>
    </xf>
    <xf numFmtId="0" fontId="9" fillId="0" borderId="2" xfId="0" applyFont="1" applyBorder="1" applyAlignment="1">
      <alignment horizontal="right" vertical="center" wrapText="1" indent="1"/>
    </xf>
    <xf numFmtId="43" fontId="10" fillId="0" borderId="0" xfId="1" applyFont="1" applyBorder="1"/>
    <xf numFmtId="43" fontId="9" fillId="0" borderId="0" xfId="1" applyFont="1" applyBorder="1"/>
    <xf numFmtId="43" fontId="4" fillId="4" borderId="0" xfId="1" applyFont="1" applyFill="1" applyBorder="1"/>
    <xf numFmtId="43" fontId="8" fillId="0" borderId="7" xfId="1" applyFont="1" applyBorder="1"/>
    <xf numFmtId="43" fontId="7" fillId="0" borderId="1" xfId="1" applyFont="1" applyBorder="1"/>
    <xf numFmtId="43" fontId="8" fillId="0" borderId="1" xfId="1" applyFont="1" applyBorder="1"/>
    <xf numFmtId="0" fontId="11" fillId="0" borderId="0" xfId="0" applyFont="1"/>
    <xf numFmtId="0" fontId="4" fillId="4" borderId="0" xfId="0" applyFont="1" applyFill="1"/>
    <xf numFmtId="0" fontId="2" fillId="4" borderId="2" xfId="0" applyFont="1" applyFill="1" applyBorder="1" applyAlignment="1">
      <alignment horizontal="right" vertical="center" wrapText="1" indent="1"/>
    </xf>
    <xf numFmtId="43" fontId="5" fillId="4" borderId="0" xfId="1" applyFont="1" applyFill="1" applyBorder="1"/>
    <xf numFmtId="164" fontId="11" fillId="6" borderId="8" xfId="0" applyNumberFormat="1" applyFont="1" applyFill="1" applyBorder="1"/>
    <xf numFmtId="164" fontId="4" fillId="3" borderId="8" xfId="0" applyNumberFormat="1" applyFont="1" applyFill="1" applyBorder="1" applyAlignment="1">
      <alignment horizontal="right"/>
    </xf>
    <xf numFmtId="164" fontId="9" fillId="5" borderId="9" xfId="0" applyNumberFormat="1" applyFont="1" applyFill="1" applyBorder="1"/>
    <xf numFmtId="43" fontId="14" fillId="0" borderId="1" xfId="1" applyFont="1" applyBorder="1"/>
    <xf numFmtId="0" fontId="14" fillId="0" borderId="2" xfId="0" applyFont="1" applyBorder="1" applyAlignment="1">
      <alignment horizontal="right" vertical="center" wrapText="1" indent="1"/>
    </xf>
    <xf numFmtId="0" fontId="14" fillId="0" borderId="0" xfId="0" applyFont="1"/>
    <xf numFmtId="0" fontId="3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14" fillId="7" borderId="2" xfId="0" applyFont="1" applyFill="1" applyBorder="1" applyAlignment="1">
      <alignment horizontal="right" vertical="center" wrapText="1" indent="1"/>
    </xf>
    <xf numFmtId="43" fontId="14" fillId="7" borderId="1" xfId="1" applyFont="1" applyFill="1" applyBorder="1"/>
    <xf numFmtId="0" fontId="14" fillId="7" borderId="0" xfId="0" applyFont="1" applyFill="1"/>
    <xf numFmtId="0" fontId="15" fillId="9" borderId="2" xfId="0" applyFont="1" applyFill="1" applyBorder="1" applyAlignment="1">
      <alignment horizontal="right" vertical="center" wrapText="1" indent="1"/>
    </xf>
    <xf numFmtId="10" fontId="15" fillId="9" borderId="2" xfId="0" applyNumberFormat="1" applyFont="1" applyFill="1" applyBorder="1" applyAlignment="1">
      <alignment horizontal="center"/>
    </xf>
    <xf numFmtId="10" fontId="16" fillId="9" borderId="2" xfId="0" applyNumberFormat="1" applyFont="1" applyFill="1" applyBorder="1" applyAlignment="1">
      <alignment horizontal="center"/>
    </xf>
    <xf numFmtId="0" fontId="15" fillId="9" borderId="0" xfId="0" applyFont="1" applyFill="1"/>
    <xf numFmtId="10" fontId="16" fillId="9" borderId="3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 vertical="center" wrapText="1"/>
    </xf>
    <xf numFmtId="166" fontId="3" fillId="2" borderId="0" xfId="0" applyNumberFormat="1" applyFont="1" applyFill="1" applyAlignment="1">
      <alignment horizontal="center" vertical="center" wrapText="1"/>
    </xf>
    <xf numFmtId="0" fontId="19" fillId="2" borderId="0" xfId="0" applyFont="1" applyFill="1"/>
    <xf numFmtId="164" fontId="4" fillId="3" borderId="0" xfId="1" applyNumberFormat="1" applyFont="1" applyFill="1" applyBorder="1"/>
    <xf numFmtId="164" fontId="7" fillId="3" borderId="12" xfId="1" applyNumberFormat="1" applyFont="1" applyFill="1" applyBorder="1"/>
    <xf numFmtId="164" fontId="9" fillId="5" borderId="13" xfId="1" applyNumberFormat="1" applyFont="1" applyFill="1" applyBorder="1"/>
    <xf numFmtId="164" fontId="5" fillId="6" borderId="15" xfId="1" applyNumberFormat="1" applyFont="1" applyFill="1" applyBorder="1" applyAlignment="1">
      <alignment vertical="center"/>
    </xf>
    <xf numFmtId="0" fontId="4" fillId="3" borderId="16" xfId="0" applyFont="1" applyFill="1" applyBorder="1"/>
    <xf numFmtId="164" fontId="4" fillId="3" borderId="17" xfId="1" applyNumberFormat="1" applyFont="1" applyFill="1" applyBorder="1"/>
    <xf numFmtId="0" fontId="4" fillId="2" borderId="18" xfId="0" applyFont="1" applyFill="1" applyBorder="1"/>
    <xf numFmtId="0" fontId="21" fillId="4" borderId="5" xfId="0" applyFont="1" applyFill="1" applyBorder="1" applyAlignment="1">
      <alignment horizontal="right" vertical="center" wrapText="1" indent="1"/>
    </xf>
    <xf numFmtId="43" fontId="21" fillId="4" borderId="6" xfId="1" applyFont="1" applyFill="1" applyBorder="1"/>
    <xf numFmtId="0" fontId="21" fillId="4" borderId="0" xfId="0" applyFont="1" applyFill="1"/>
    <xf numFmtId="0" fontId="22" fillId="3" borderId="0" xfId="0" applyFont="1" applyFill="1"/>
    <xf numFmtId="0" fontId="9" fillId="0" borderId="2" xfId="0" applyFont="1" applyBorder="1" applyAlignment="1">
      <alignment horizontal="left" vertical="center" wrapText="1" indent="1"/>
    </xf>
    <xf numFmtId="0" fontId="12" fillId="0" borderId="0" xfId="0" applyFont="1" applyFill="1"/>
    <xf numFmtId="0" fontId="11" fillId="16" borderId="4" xfId="0" applyFont="1" applyFill="1" applyBorder="1" applyAlignment="1">
      <alignment horizontal="right" vertical="center" wrapText="1" indent="1"/>
    </xf>
    <xf numFmtId="43" fontId="12" fillId="16" borderId="0" xfId="1" applyFont="1" applyFill="1" applyBorder="1"/>
    <xf numFmtId="43" fontId="11" fillId="16" borderId="0" xfId="1" applyFont="1" applyFill="1" applyBorder="1"/>
    <xf numFmtId="0" fontId="3" fillId="4" borderId="19" xfId="0" applyFont="1" applyFill="1" applyBorder="1" applyAlignment="1">
      <alignment horizontal="center" vertical="center" wrapText="1"/>
    </xf>
    <xf numFmtId="10" fontId="15" fillId="9" borderId="3" xfId="0" applyNumberFormat="1" applyFont="1" applyFill="1" applyBorder="1" applyAlignment="1">
      <alignment horizontal="center"/>
    </xf>
    <xf numFmtId="10" fontId="15" fillId="9" borderId="20" xfId="0" applyNumberFormat="1" applyFont="1" applyFill="1" applyBorder="1" applyAlignment="1">
      <alignment horizontal="center"/>
    </xf>
    <xf numFmtId="43" fontId="21" fillId="4" borderId="21" xfId="1" applyFont="1" applyFill="1" applyBorder="1"/>
    <xf numFmtId="43" fontId="11" fillId="16" borderId="22" xfId="1" applyFont="1" applyFill="1" applyBorder="1"/>
    <xf numFmtId="43" fontId="9" fillId="0" borderId="22" xfId="1" applyFont="1" applyBorder="1"/>
    <xf numFmtId="43" fontId="7" fillId="0" borderId="23" xfId="1" applyFont="1" applyBorder="1"/>
    <xf numFmtId="43" fontId="4" fillId="4" borderId="22" xfId="1" applyFont="1" applyFill="1" applyBorder="1"/>
    <xf numFmtId="43" fontId="14" fillId="0" borderId="23" xfId="1" applyFont="1" applyBorder="1"/>
    <xf numFmtId="43" fontId="14" fillId="7" borderId="23" xfId="1" applyFont="1" applyFill="1" applyBorder="1"/>
    <xf numFmtId="43" fontId="6" fillId="0" borderId="22" xfId="1" applyFont="1" applyBorder="1"/>
    <xf numFmtId="43" fontId="21" fillId="11" borderId="21" xfId="1" applyFont="1" applyFill="1" applyBorder="1"/>
    <xf numFmtId="43" fontId="11" fillId="17" borderId="22" xfId="1" applyFont="1" applyFill="1" applyBorder="1"/>
    <xf numFmtId="43" fontId="7" fillId="11" borderId="22" xfId="1" applyFont="1" applyFill="1" applyBorder="1"/>
    <xf numFmtId="43" fontId="7" fillId="11" borderId="23" xfId="1" applyFont="1" applyFill="1" applyBorder="1"/>
    <xf numFmtId="43" fontId="4" fillId="11" borderId="22" xfId="1" applyFont="1" applyFill="1" applyBorder="1"/>
    <xf numFmtId="43" fontId="14" fillId="11" borderId="23" xfId="1" applyFont="1" applyFill="1" applyBorder="1"/>
    <xf numFmtId="43" fontId="14" fillId="13" borderId="23" xfId="1" applyFont="1" applyFill="1" applyBorder="1"/>
    <xf numFmtId="0" fontId="22" fillId="3" borderId="0" xfId="0" applyFont="1" applyFill="1" applyAlignment="1">
      <alignment wrapText="1"/>
    </xf>
    <xf numFmtId="0" fontId="13" fillId="10" borderId="22" xfId="0" applyFont="1" applyFill="1" applyBorder="1" applyAlignment="1">
      <alignment horizontal="center" vertical="center" wrapText="1"/>
    </xf>
    <xf numFmtId="43" fontId="7" fillId="21" borderId="0" xfId="1" applyFont="1" applyFill="1" applyBorder="1"/>
    <xf numFmtId="43" fontId="8" fillId="21" borderId="0" xfId="1" applyFont="1" applyFill="1" applyBorder="1"/>
    <xf numFmtId="43" fontId="27" fillId="16" borderId="0" xfId="1" applyFont="1" applyFill="1" applyBorder="1"/>
    <xf numFmtId="0" fontId="5" fillId="0" borderId="7" xfId="0" applyFont="1" applyBorder="1" applyAlignment="1">
      <alignment horizontal="center"/>
    </xf>
    <xf numFmtId="0" fontId="3" fillId="0" borderId="19" xfId="0" applyFont="1" applyBorder="1" applyAlignment="1">
      <alignment horizontal="center" vertical="center" wrapText="1"/>
    </xf>
    <xf numFmtId="10" fontId="15" fillId="12" borderId="23" xfId="0" applyNumberFormat="1" applyFont="1" applyFill="1" applyBorder="1" applyAlignment="1">
      <alignment horizontal="center"/>
    </xf>
    <xf numFmtId="0" fontId="5" fillId="4" borderId="31" xfId="0" applyFont="1" applyFill="1" applyBorder="1" applyAlignment="1">
      <alignment horizontal="center"/>
    </xf>
    <xf numFmtId="0" fontId="3" fillId="11" borderId="32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/>
    </xf>
    <xf numFmtId="10" fontId="15" fillId="9" borderId="33" xfId="0" applyNumberFormat="1" applyFont="1" applyFill="1" applyBorder="1" applyAlignment="1">
      <alignment horizontal="center"/>
    </xf>
    <xf numFmtId="10" fontId="15" fillId="9" borderId="34" xfId="0" applyNumberFormat="1" applyFont="1" applyFill="1" applyBorder="1" applyAlignment="1">
      <alignment horizontal="center"/>
    </xf>
    <xf numFmtId="10" fontId="15" fillId="9" borderId="13" xfId="0" applyNumberFormat="1" applyFont="1" applyFill="1" applyBorder="1" applyAlignment="1">
      <alignment horizontal="center"/>
    </xf>
    <xf numFmtId="43" fontId="21" fillId="4" borderId="35" xfId="1" applyFont="1" applyFill="1" applyBorder="1"/>
    <xf numFmtId="43" fontId="21" fillId="4" borderId="36" xfId="1" applyFont="1" applyFill="1" applyBorder="1"/>
    <xf numFmtId="43" fontId="11" fillId="16" borderId="37" xfId="1" applyFont="1" applyFill="1" applyBorder="1"/>
    <xf numFmtId="43" fontId="11" fillId="16" borderId="12" xfId="1" applyFont="1" applyFill="1" applyBorder="1"/>
    <xf numFmtId="43" fontId="7" fillId="0" borderId="37" xfId="1" applyFont="1" applyBorder="1"/>
    <xf numFmtId="43" fontId="7" fillId="0" borderId="12" xfId="1" applyFont="1" applyBorder="1"/>
    <xf numFmtId="43" fontId="7" fillId="21" borderId="12" xfId="1" applyFont="1" applyFill="1" applyBorder="1"/>
    <xf numFmtId="43" fontId="9" fillId="0" borderId="37" xfId="1" applyFont="1" applyBorder="1"/>
    <xf numFmtId="43" fontId="7" fillId="0" borderId="34" xfId="1" applyFont="1" applyBorder="1"/>
    <xf numFmtId="43" fontId="7" fillId="0" borderId="13" xfId="1" applyFont="1" applyBorder="1"/>
    <xf numFmtId="43" fontId="4" fillId="4" borderId="37" xfId="1" applyFont="1" applyFill="1" applyBorder="1"/>
    <xf numFmtId="43" fontId="4" fillId="4" borderId="12" xfId="1" applyFont="1" applyFill="1" applyBorder="1"/>
    <xf numFmtId="43" fontId="14" fillId="0" borderId="34" xfId="1" applyFont="1" applyBorder="1"/>
    <xf numFmtId="43" fontId="14" fillId="0" borderId="13" xfId="1" applyFont="1" applyBorder="1"/>
    <xf numFmtId="43" fontId="14" fillId="7" borderId="34" xfId="1" applyFont="1" applyFill="1" applyBorder="1"/>
    <xf numFmtId="43" fontId="14" fillId="7" borderId="13" xfId="1" applyFont="1" applyFill="1" applyBorder="1"/>
    <xf numFmtId="43" fontId="6" fillId="0" borderId="37" xfId="1" applyFont="1" applyBorder="1"/>
    <xf numFmtId="43" fontId="6" fillId="0" borderId="12" xfId="1" applyFont="1" applyBorder="1"/>
    <xf numFmtId="14" fontId="26" fillId="2" borderId="0" xfId="0" applyNumberFormat="1" applyFont="1" applyFill="1"/>
    <xf numFmtId="0" fontId="5" fillId="2" borderId="30" xfId="0" applyFont="1" applyFill="1" applyBorder="1" applyAlignment="1">
      <alignment horizontal="center"/>
    </xf>
    <xf numFmtId="0" fontId="5" fillId="2" borderId="30" xfId="0" applyFont="1" applyFill="1" applyBorder="1" applyAlignment="1">
      <alignment horizontal="center" vertical="center"/>
    </xf>
    <xf numFmtId="0" fontId="4" fillId="2" borderId="41" xfId="0" applyFont="1" applyFill="1" applyBorder="1"/>
    <xf numFmtId="0" fontId="2" fillId="6" borderId="42" xfId="0" applyFont="1" applyFill="1" applyBorder="1" applyAlignment="1">
      <alignment horizontal="right" vertical="center" wrapText="1"/>
    </xf>
    <xf numFmtId="0" fontId="11" fillId="6" borderId="44" xfId="0" applyFont="1" applyFill="1" applyBorder="1" applyAlignment="1">
      <alignment horizontal="right" vertical="center" wrapText="1"/>
    </xf>
    <xf numFmtId="0" fontId="7" fillId="6" borderId="44" xfId="0" applyFont="1" applyFill="1" applyBorder="1" applyAlignment="1">
      <alignment horizontal="right" vertical="center" wrapText="1"/>
    </xf>
    <xf numFmtId="0" fontId="9" fillId="5" borderId="45" xfId="0" applyFont="1" applyFill="1" applyBorder="1" applyAlignment="1">
      <alignment horizontal="right" vertical="center" wrapText="1"/>
    </xf>
    <xf numFmtId="0" fontId="21" fillId="4" borderId="38" xfId="0" applyFont="1" applyFill="1" applyBorder="1" applyAlignment="1">
      <alignment horizontal="right" vertical="center" wrapText="1"/>
    </xf>
    <xf numFmtId="164" fontId="21" fillId="4" borderId="46" xfId="1" applyNumberFormat="1" applyFont="1" applyFill="1" applyBorder="1" applyAlignment="1">
      <alignment vertical="center"/>
    </xf>
    <xf numFmtId="43" fontId="22" fillId="4" borderId="14" xfId="0" applyNumberFormat="1" applyFont="1" applyFill="1" applyBorder="1" applyAlignment="1">
      <alignment horizontal="left" vertical="center" wrapText="1" indent="1"/>
    </xf>
    <xf numFmtId="164" fontId="21" fillId="4" borderId="14" xfId="0" applyNumberFormat="1" applyFont="1" applyFill="1" applyBorder="1"/>
    <xf numFmtId="164" fontId="21" fillId="4" borderId="39" xfId="1" applyNumberFormat="1" applyFont="1" applyFill="1" applyBorder="1"/>
    <xf numFmtId="14" fontId="26" fillId="2" borderId="40" xfId="0" applyNumberFormat="1" applyFont="1" applyFill="1" applyBorder="1" applyAlignment="1">
      <alignment horizontal="center"/>
    </xf>
    <xf numFmtId="0" fontId="28" fillId="3" borderId="47" xfId="0" applyFont="1" applyFill="1" applyBorder="1" applyAlignment="1">
      <alignment horizontal="right"/>
    </xf>
    <xf numFmtId="2" fontId="4" fillId="3" borderId="0" xfId="0" applyNumberFormat="1" applyFont="1" applyFill="1"/>
    <xf numFmtId="0" fontId="5" fillId="0" borderId="25" xfId="0" applyFont="1" applyBorder="1" applyAlignment="1">
      <alignment horizontal="center"/>
    </xf>
    <xf numFmtId="0" fontId="30" fillId="0" borderId="4" xfId="0" applyFont="1" applyBorder="1" applyAlignment="1">
      <alignment horizontal="center" vertical="center" wrapText="1"/>
    </xf>
    <xf numFmtId="10" fontId="31" fillId="9" borderId="2" xfId="0" applyNumberFormat="1" applyFont="1" applyFill="1" applyBorder="1" applyAlignment="1">
      <alignment horizontal="center"/>
    </xf>
    <xf numFmtId="43" fontId="32" fillId="4" borderId="6" xfId="1" applyFont="1" applyFill="1" applyBorder="1"/>
    <xf numFmtId="43" fontId="29" fillId="16" borderId="0" xfId="1" applyFont="1" applyFill="1"/>
    <xf numFmtId="43" fontId="33" fillId="0" borderId="0" xfId="1" applyFont="1"/>
    <xf numFmtId="43" fontId="33" fillId="21" borderId="0" xfId="1" applyFont="1" applyFill="1"/>
    <xf numFmtId="43" fontId="33" fillId="0" borderId="1" xfId="1" applyFont="1" applyBorder="1"/>
    <xf numFmtId="43" fontId="34" fillId="4" borderId="0" xfId="1" applyFont="1" applyFill="1"/>
    <xf numFmtId="43" fontId="35" fillId="0" borderId="1" xfId="1" applyFont="1" applyBorder="1"/>
    <xf numFmtId="43" fontId="35" fillId="7" borderId="1" xfId="1" applyFont="1" applyFill="1" applyBorder="1"/>
    <xf numFmtId="43" fontId="34" fillId="0" borderId="0" xfId="1" applyFont="1"/>
    <xf numFmtId="0" fontId="11" fillId="3" borderId="52" xfId="0" applyFont="1" applyFill="1" applyBorder="1" applyAlignment="1">
      <alignment horizontal="right"/>
    </xf>
    <xf numFmtId="43" fontId="29" fillId="16" borderId="36" xfId="1" applyFont="1" applyFill="1" applyBorder="1"/>
    <xf numFmtId="2" fontId="29" fillId="16" borderId="11" xfId="1" applyNumberFormat="1" applyFont="1" applyFill="1" applyBorder="1" applyAlignment="1">
      <alignment horizontal="center" vertical="center"/>
    </xf>
    <xf numFmtId="43" fontId="12" fillId="16" borderId="6" xfId="1" applyFont="1" applyFill="1" applyBorder="1" applyAlignment="1">
      <alignment vertical="center"/>
    </xf>
    <xf numFmtId="43" fontId="22" fillId="3" borderId="0" xfId="0" applyNumberFormat="1" applyFont="1" applyFill="1"/>
    <xf numFmtId="10" fontId="22" fillId="3" borderId="0" xfId="2" applyNumberFormat="1" applyFont="1" applyFill="1"/>
    <xf numFmtId="10" fontId="5" fillId="22" borderId="39" xfId="2" applyNumberFormat="1" applyFont="1" applyFill="1" applyBorder="1"/>
    <xf numFmtId="0" fontId="2" fillId="5" borderId="0" xfId="0" applyFont="1" applyFill="1" applyAlignment="1">
      <alignment horizontal="left" vertical="center" wrapText="1" indent="1"/>
    </xf>
    <xf numFmtId="0" fontId="4" fillId="5" borderId="0" xfId="0" applyFont="1" applyFill="1"/>
    <xf numFmtId="165" fontId="2" fillId="5" borderId="0" xfId="2" applyNumberFormat="1" applyFont="1" applyFill="1" applyAlignment="1">
      <alignment horizontal="left" vertical="center" wrapText="1" indent="1"/>
    </xf>
    <xf numFmtId="43" fontId="23" fillId="5" borderId="0" xfId="1" applyFont="1" applyFill="1"/>
    <xf numFmtId="10" fontId="4" fillId="5" borderId="0" xfId="2" applyNumberFormat="1" applyFont="1" applyFill="1"/>
    <xf numFmtId="43" fontId="4" fillId="5" borderId="0" xfId="1" applyFont="1" applyFill="1"/>
    <xf numFmtId="4" fontId="2" fillId="5" borderId="0" xfId="0" applyNumberFormat="1" applyFont="1" applyFill="1" applyAlignment="1">
      <alignment horizontal="right" vertical="center" wrapText="1" indent="1"/>
    </xf>
    <xf numFmtId="0" fontId="0" fillId="5" borderId="0" xfId="0" applyFill="1"/>
    <xf numFmtId="0" fontId="37" fillId="5" borderId="0" xfId="0" applyFont="1" applyFill="1" applyAlignment="1">
      <alignment horizontal="left" vertical="center" wrapText="1" indent="1"/>
    </xf>
    <xf numFmtId="10" fontId="2" fillId="5" borderId="0" xfId="2" applyNumberFormat="1" applyFont="1" applyFill="1" applyAlignment="1">
      <alignment horizontal="left" vertical="center" wrapText="1" indent="1"/>
    </xf>
    <xf numFmtId="0" fontId="2" fillId="5" borderId="0" xfId="0" applyFont="1" applyFill="1" applyAlignment="1">
      <alignment horizontal="right" vertical="center" wrapText="1" indent="1"/>
    </xf>
    <xf numFmtId="0" fontId="0" fillId="24" borderId="0" xfId="5" applyFont="1" applyFill="1" applyAlignment="1">
      <alignment horizontal="left" vertical="center" wrapText="1"/>
    </xf>
    <xf numFmtId="0" fontId="5" fillId="0" borderId="38" xfId="0" applyFont="1" applyFill="1" applyBorder="1" applyAlignment="1">
      <alignment horizontal="right" vertical="center"/>
    </xf>
    <xf numFmtId="0" fontId="29" fillId="16" borderId="28" xfId="0" applyFont="1" applyFill="1" applyBorder="1" applyAlignment="1">
      <alignment horizontal="center" vertical="center" wrapText="1"/>
    </xf>
    <xf numFmtId="0" fontId="12" fillId="16" borderId="28" xfId="0" applyFont="1" applyFill="1" applyBorder="1" applyAlignment="1">
      <alignment horizontal="center" vertical="center" wrapText="1"/>
    </xf>
    <xf numFmtId="167" fontId="5" fillId="0" borderId="40" xfId="0" applyNumberFormat="1" applyFont="1" applyFill="1" applyBorder="1" applyAlignment="1">
      <alignment horizontal="center" vertical="center"/>
    </xf>
    <xf numFmtId="167" fontId="4" fillId="0" borderId="38" xfId="0" applyNumberFormat="1" applyFont="1" applyFill="1" applyBorder="1"/>
    <xf numFmtId="167" fontId="4" fillId="0" borderId="44" xfId="0" applyNumberFormat="1" applyFont="1" applyBorder="1"/>
    <xf numFmtId="167" fontId="4" fillId="0" borderId="44" xfId="0" applyNumberFormat="1" applyFont="1" applyFill="1" applyBorder="1"/>
    <xf numFmtId="0" fontId="5" fillId="23" borderId="47" xfId="0" applyFont="1" applyFill="1" applyBorder="1" applyAlignment="1">
      <alignment horizontal="center" vertical="center" wrapText="1"/>
    </xf>
    <xf numFmtId="2" fontId="5" fillId="22" borderId="11" xfId="0" applyNumberFormat="1" applyFont="1" applyFill="1" applyBorder="1"/>
    <xf numFmtId="2" fontId="4" fillId="0" borderId="12" xfId="0" applyNumberFormat="1" applyFont="1" applyBorder="1"/>
    <xf numFmtId="2" fontId="5" fillId="22" borderId="12" xfId="0" applyNumberFormat="1" applyFont="1" applyFill="1" applyBorder="1"/>
    <xf numFmtId="0" fontId="42" fillId="0" borderId="54" xfId="0" applyFont="1" applyBorder="1"/>
    <xf numFmtId="0" fontId="41" fillId="0" borderId="55" xfId="0" applyFont="1" applyBorder="1"/>
    <xf numFmtId="43" fontId="4" fillId="5" borderId="56" xfId="1" applyFont="1" applyFill="1" applyBorder="1" applyAlignment="1">
      <alignment horizontal="center" vertical="center" wrapText="1"/>
    </xf>
    <xf numFmtId="0" fontId="41" fillId="5" borderId="61" xfId="0" applyFont="1" applyFill="1" applyBorder="1"/>
    <xf numFmtId="0" fontId="5" fillId="0" borderId="0" xfId="0" applyFont="1" applyFill="1" applyBorder="1" applyAlignment="1">
      <alignment horizontal="right" vertical="center"/>
    </xf>
    <xf numFmtId="43" fontId="4" fillId="5" borderId="0" xfId="1" applyFont="1" applyFill="1" applyBorder="1"/>
    <xf numFmtId="164" fontId="5" fillId="5" borderId="0" xfId="1" applyNumberFormat="1" applyFont="1" applyFill="1" applyBorder="1"/>
    <xf numFmtId="0" fontId="4" fillId="22" borderId="41" xfId="0" applyFont="1" applyFill="1" applyBorder="1" applyAlignment="1">
      <alignment horizontal="center" vertical="center"/>
    </xf>
    <xf numFmtId="167" fontId="5" fillId="0" borderId="47" xfId="0" applyNumberFormat="1" applyFont="1" applyFill="1" applyBorder="1"/>
    <xf numFmtId="43" fontId="43" fillId="0" borderId="0" xfId="1" applyFont="1"/>
    <xf numFmtId="0" fontId="11" fillId="0" borderId="62" xfId="0" applyFont="1" applyBorder="1" applyAlignment="1">
      <alignment horizontal="right" vertical="center" wrapText="1" indent="1"/>
    </xf>
    <xf numFmtId="0" fontId="17" fillId="5" borderId="0" xfId="0" applyFont="1" applyFill="1" applyBorder="1" applyAlignment="1">
      <alignment horizontal="right" vertical="center" wrapText="1" indent="1"/>
    </xf>
    <xf numFmtId="0" fontId="18" fillId="5" borderId="0" xfId="0" applyFont="1" applyFill="1" applyBorder="1"/>
    <xf numFmtId="0" fontId="18" fillId="5" borderId="0" xfId="0" applyFont="1" applyFill="1" applyBorder="1" applyAlignment="1">
      <alignment horizontal="left" vertical="center" wrapText="1" indent="1"/>
    </xf>
    <xf numFmtId="0" fontId="18" fillId="25" borderId="0" xfId="0" applyFont="1" applyFill="1" applyBorder="1"/>
    <xf numFmtId="10" fontId="18" fillId="5" borderId="0" xfId="0" applyNumberFormat="1" applyFont="1" applyFill="1" applyBorder="1"/>
    <xf numFmtId="165" fontId="18" fillId="5" borderId="0" xfId="0" applyNumberFormat="1" applyFont="1" applyFill="1" applyBorder="1"/>
    <xf numFmtId="165" fontId="36" fillId="5" borderId="0" xfId="0" applyNumberFormat="1" applyFont="1" applyFill="1" applyBorder="1"/>
    <xf numFmtId="43" fontId="28" fillId="16" borderId="0" xfId="1" applyFont="1" applyFill="1"/>
    <xf numFmtId="0" fontId="2" fillId="0" borderId="63" xfId="0" applyFont="1" applyBorder="1" applyAlignment="1">
      <alignment horizontal="right" vertical="center" wrapText="1" indent="1"/>
    </xf>
    <xf numFmtId="9" fontId="4" fillId="5" borderId="0" xfId="0" applyNumberFormat="1" applyFont="1" applyFill="1" applyBorder="1"/>
    <xf numFmtId="43" fontId="27" fillId="5" borderId="0" xfId="1" applyFont="1" applyFill="1" applyBorder="1"/>
    <xf numFmtId="0" fontId="12" fillId="5" borderId="0" xfId="0" applyFont="1" applyFill="1" applyBorder="1" applyAlignment="1">
      <alignment horizontal="right"/>
    </xf>
    <xf numFmtId="9" fontId="5" fillId="5" borderId="0" xfId="0" applyNumberFormat="1" applyFont="1" applyFill="1" applyBorder="1"/>
    <xf numFmtId="4" fontId="3" fillId="5" borderId="0" xfId="0" applyNumberFormat="1" applyFont="1" applyFill="1" applyBorder="1" applyAlignment="1">
      <alignment horizontal="right" vertical="center" wrapText="1" indent="1"/>
    </xf>
    <xf numFmtId="0" fontId="5" fillId="5" borderId="0" xfId="0" applyFont="1" applyFill="1" applyBorder="1"/>
    <xf numFmtId="9" fontId="12" fillId="5" borderId="0" xfId="2" applyNumberFormat="1" applyFont="1" applyFill="1" applyBorder="1"/>
    <xf numFmtId="9" fontId="29" fillId="5" borderId="0" xfId="2" applyFont="1" applyFill="1" applyBorder="1"/>
    <xf numFmtId="0" fontId="4" fillId="5" borderId="0" xfId="0" applyFont="1" applyFill="1" applyBorder="1"/>
    <xf numFmtId="0" fontId="2" fillId="5" borderId="0" xfId="0" applyFont="1" applyFill="1" applyBorder="1" applyAlignment="1">
      <alignment horizontal="left" vertical="center" wrapText="1" indent="1"/>
    </xf>
    <xf numFmtId="9" fontId="23" fillId="5" borderId="0" xfId="2" applyFont="1" applyFill="1" applyBorder="1"/>
    <xf numFmtId="9" fontId="23" fillId="5" borderId="0" xfId="1" applyNumberFormat="1" applyFont="1" applyFill="1" applyBorder="1"/>
    <xf numFmtId="9" fontId="38" fillId="5" borderId="0" xfId="1" applyNumberFormat="1" applyFont="1" applyFill="1" applyBorder="1"/>
    <xf numFmtId="4" fontId="2" fillId="5" borderId="0" xfId="0" applyNumberFormat="1" applyFont="1" applyFill="1" applyBorder="1" applyAlignment="1">
      <alignment horizontal="right" vertical="center" wrapText="1" indent="1"/>
    </xf>
    <xf numFmtId="4" fontId="4" fillId="5" borderId="0" xfId="0" applyNumberFormat="1" applyFont="1" applyFill="1" applyBorder="1"/>
    <xf numFmtId="10" fontId="23" fillId="5" borderId="0" xfId="1" applyNumberFormat="1" applyFont="1" applyFill="1" applyBorder="1"/>
    <xf numFmtId="43" fontId="23" fillId="5" borderId="0" xfId="1" applyFont="1" applyFill="1" applyBorder="1"/>
    <xf numFmtId="43" fontId="12" fillId="0" borderId="27" xfId="1" applyFont="1" applyBorder="1"/>
    <xf numFmtId="43" fontId="28" fillId="0" borderId="27" xfId="1" applyFont="1" applyBorder="1"/>
    <xf numFmtId="43" fontId="11" fillId="0" borderId="27" xfId="1" applyFont="1" applyBorder="1"/>
    <xf numFmtId="43" fontId="11" fillId="0" borderId="26" xfId="1" applyFont="1" applyBorder="1"/>
    <xf numFmtId="43" fontId="11" fillId="0" borderId="64" xfId="1" applyFont="1" applyBorder="1"/>
    <xf numFmtId="0" fontId="11" fillId="1" borderId="26" xfId="0" applyFont="1" applyFill="1" applyBorder="1"/>
    <xf numFmtId="43" fontId="11" fillId="0" borderId="65" xfId="1" applyFont="1" applyBorder="1"/>
    <xf numFmtId="0" fontId="11" fillId="5" borderId="0" xfId="0" applyFont="1" applyFill="1" applyBorder="1" applyAlignment="1">
      <alignment horizontal="right"/>
    </xf>
    <xf numFmtId="9" fontId="11" fillId="5" borderId="0" xfId="0" applyNumberFormat="1" applyFont="1" applyFill="1" applyBorder="1"/>
    <xf numFmtId="0" fontId="11" fillId="5" borderId="0" xfId="0" applyFont="1" applyFill="1" applyBorder="1"/>
    <xf numFmtId="0" fontId="12" fillId="0" borderId="48" xfId="0" applyFont="1" applyFill="1" applyBorder="1" applyAlignment="1">
      <alignment horizontal="right" vertical="center" wrapText="1" indent="1"/>
    </xf>
    <xf numFmtId="43" fontId="12" fillId="16" borderId="12" xfId="1" applyFont="1" applyFill="1" applyBorder="1"/>
    <xf numFmtId="43" fontId="29" fillId="16" borderId="0" xfId="1" applyFont="1" applyFill="1" applyBorder="1"/>
    <xf numFmtId="43" fontId="12" fillId="16" borderId="22" xfId="1" applyFont="1" applyFill="1" applyBorder="1"/>
    <xf numFmtId="43" fontId="12" fillId="16" borderId="37" xfId="1" applyFont="1" applyFill="1" applyBorder="1"/>
    <xf numFmtId="0" fontId="29" fillId="5" borderId="0" xfId="0" applyFont="1" applyFill="1" applyBorder="1" applyAlignment="1">
      <alignment horizontal="right" vertical="center" wrapText="1" indent="1"/>
    </xf>
    <xf numFmtId="43" fontId="12" fillId="5" borderId="0" xfId="1" applyFont="1" applyFill="1" applyBorder="1"/>
    <xf numFmtId="43" fontId="29" fillId="5" borderId="0" xfId="1" applyFont="1" applyFill="1" applyBorder="1"/>
    <xf numFmtId="0" fontId="12" fillId="5" borderId="0" xfId="0" applyFont="1" applyFill="1" applyBorder="1"/>
    <xf numFmtId="0" fontId="0" fillId="24" borderId="8" xfId="5" applyFont="1" applyFill="1" applyBorder="1" applyAlignment="1">
      <alignment horizontal="left" vertical="center" wrapText="1"/>
    </xf>
    <xf numFmtId="2" fontId="5" fillId="22" borderId="39" xfId="0" applyNumberFormat="1" applyFont="1" applyFill="1" applyBorder="1"/>
    <xf numFmtId="0" fontId="4" fillId="24" borderId="0" xfId="5" applyFont="1" applyFill="1" applyAlignment="1">
      <alignment horizontal="left" vertical="center" wrapText="1"/>
    </xf>
    <xf numFmtId="9" fontId="41" fillId="0" borderId="0" xfId="0" applyNumberFormat="1" applyFont="1" applyAlignment="1">
      <alignment horizontal="center"/>
    </xf>
    <xf numFmtId="0" fontId="4" fillId="5" borderId="30" xfId="0" applyFont="1" applyFill="1" applyBorder="1"/>
    <xf numFmtId="0" fontId="4" fillId="5" borderId="30" xfId="5" applyFont="1" applyFill="1" applyBorder="1" applyAlignment="1">
      <alignment horizontal="left" vertical="center" wrapText="1"/>
    </xf>
    <xf numFmtId="0" fontId="4" fillId="5" borderId="53" xfId="5" applyFont="1" applyFill="1" applyBorder="1" applyAlignment="1">
      <alignment horizontal="left" vertical="center" wrapText="1"/>
    </xf>
    <xf numFmtId="0" fontId="4" fillId="24" borderId="10" xfId="5" applyFont="1" applyFill="1" applyBorder="1" applyAlignment="1">
      <alignment horizontal="center" vertical="center" wrapText="1"/>
    </xf>
    <xf numFmtId="9" fontId="4" fillId="24" borderId="0" xfId="5" applyNumberFormat="1" applyFont="1" applyFill="1" applyBorder="1" applyAlignment="1">
      <alignment horizontal="center" vertical="center" wrapText="1"/>
    </xf>
    <xf numFmtId="9" fontId="4" fillId="24" borderId="14" xfId="5" applyNumberFormat="1" applyFont="1" applyFill="1" applyBorder="1" applyAlignment="1">
      <alignment horizontal="center" vertical="center" wrapText="1"/>
    </xf>
    <xf numFmtId="0" fontId="12" fillId="16" borderId="47" xfId="0" applyFont="1" applyFill="1" applyBorder="1" applyAlignment="1">
      <alignment horizontal="center" vertical="center" wrapText="1"/>
    </xf>
    <xf numFmtId="164" fontId="4" fillId="0" borderId="0" xfId="0" applyNumberFormat="1" applyFont="1" applyBorder="1"/>
    <xf numFmtId="164" fontId="5" fillId="16" borderId="14" xfId="1" applyNumberFormat="1" applyFont="1" applyFill="1" applyBorder="1"/>
    <xf numFmtId="0" fontId="4" fillId="5" borderId="53" xfId="0" applyFont="1" applyFill="1" applyBorder="1"/>
    <xf numFmtId="164" fontId="41" fillId="0" borderId="8" xfId="1" applyNumberFormat="1" applyFont="1" applyBorder="1"/>
    <xf numFmtId="164" fontId="4" fillId="0" borderId="8" xfId="1" applyNumberFormat="1" applyFont="1" applyBorder="1"/>
    <xf numFmtId="0" fontId="41" fillId="5" borderId="0" xfId="0" applyFont="1" applyFill="1"/>
    <xf numFmtId="164" fontId="5" fillId="16" borderId="10" xfId="1" applyNumberFormat="1" applyFont="1" applyFill="1" applyBorder="1"/>
    <xf numFmtId="164" fontId="41" fillId="5" borderId="0" xfId="0" applyNumberFormat="1" applyFont="1" applyFill="1"/>
    <xf numFmtId="43" fontId="25" fillId="20" borderId="1" xfId="4" applyNumberFormat="1" applyBorder="1"/>
    <xf numFmtId="164" fontId="41" fillId="0" borderId="46" xfId="1" applyNumberFormat="1" applyFont="1" applyBorder="1" applyAlignment="1">
      <alignment horizontal="left" vertical="center" wrapText="1"/>
    </xf>
    <xf numFmtId="164" fontId="41" fillId="0" borderId="8" xfId="1" applyNumberFormat="1" applyFont="1" applyBorder="1" applyAlignment="1">
      <alignment horizontal="left" vertical="center" wrapText="1"/>
    </xf>
    <xf numFmtId="10" fontId="5" fillId="16" borderId="14" xfId="2" applyNumberFormat="1" applyFont="1" applyFill="1" applyBorder="1"/>
    <xf numFmtId="164" fontId="5" fillId="0" borderId="28" xfId="1" applyNumberFormat="1" applyFont="1" applyBorder="1"/>
    <xf numFmtId="0" fontId="4" fillId="24" borderId="8" xfId="5" applyFont="1" applyFill="1" applyBorder="1" applyAlignment="1">
      <alignment horizontal="left" vertical="center" wrapText="1"/>
    </xf>
    <xf numFmtId="164" fontId="25" fillId="19" borderId="46" xfId="3" applyNumberFormat="1" applyBorder="1" applyAlignment="1">
      <alignment horizontal="left" vertical="center" wrapText="1"/>
    </xf>
    <xf numFmtId="43" fontId="5" fillId="5" borderId="44" xfId="1" applyFont="1" applyFill="1" applyBorder="1" applyAlignment="1">
      <alignment horizontal="right"/>
    </xf>
    <xf numFmtId="0" fontId="0" fillId="5" borderId="0" xfId="0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5" borderId="12" xfId="0" applyFont="1" applyFill="1" applyBorder="1" applyAlignment="1">
      <alignment horizontal="left"/>
    </xf>
    <xf numFmtId="43" fontId="5" fillId="5" borderId="38" xfId="1" applyFont="1" applyFill="1" applyBorder="1" applyAlignment="1">
      <alignment horizontal="right"/>
    </xf>
    <xf numFmtId="0" fontId="0" fillId="24" borderId="14" xfId="5" applyFont="1" applyFill="1" applyBorder="1" applyAlignment="1">
      <alignment horizontal="left" vertical="center" wrapText="1"/>
    </xf>
    <xf numFmtId="0" fontId="0" fillId="24" borderId="39" xfId="5" applyFont="1" applyFill="1" applyBorder="1" applyAlignment="1">
      <alignment horizontal="left" vertical="center" wrapText="1"/>
    </xf>
    <xf numFmtId="9" fontId="0" fillId="24" borderId="0" xfId="2" applyFont="1" applyFill="1" applyAlignment="1">
      <alignment horizontal="left" vertical="center" wrapText="1"/>
    </xf>
    <xf numFmtId="165" fontId="0" fillId="24" borderId="0" xfId="2" applyNumberFormat="1" applyFont="1" applyFill="1" applyAlignment="1">
      <alignment horizontal="left" vertical="center" wrapText="1"/>
    </xf>
    <xf numFmtId="43" fontId="41" fillId="5" borderId="0" xfId="0" applyNumberFormat="1" applyFont="1" applyFill="1"/>
    <xf numFmtId="43" fontId="4" fillId="5" borderId="0" xfId="0" applyNumberFormat="1" applyFont="1" applyFill="1"/>
    <xf numFmtId="164" fontId="4" fillId="5" borderId="0" xfId="0" applyNumberFormat="1" applyFont="1" applyFill="1"/>
    <xf numFmtId="43" fontId="12" fillId="0" borderId="66" xfId="1" applyFont="1" applyBorder="1"/>
    <xf numFmtId="0" fontId="4" fillId="5" borderId="60" xfId="0" applyFont="1" applyFill="1" applyBorder="1"/>
    <xf numFmtId="10" fontId="37" fillId="5" borderId="0" xfId="2" applyNumberFormat="1" applyFont="1" applyFill="1" applyAlignment="1">
      <alignment horizontal="center" vertical="center" wrapText="1"/>
    </xf>
    <xf numFmtId="10" fontId="0" fillId="5" borderId="0" xfId="1" applyNumberFormat="1" applyFont="1" applyFill="1"/>
    <xf numFmtId="0" fontId="5" fillId="5" borderId="57" xfId="0" applyFont="1" applyFill="1" applyBorder="1" applyAlignment="1">
      <alignment horizontal="center" vertical="center" wrapText="1"/>
    </xf>
    <xf numFmtId="10" fontId="45" fillId="16" borderId="58" xfId="0" applyNumberFormat="1" applyFont="1" applyFill="1" applyBorder="1" applyAlignment="1">
      <alignment horizontal="center"/>
    </xf>
    <xf numFmtId="10" fontId="19" fillId="16" borderId="59" xfId="2" applyNumberFormat="1" applyFont="1" applyFill="1" applyBorder="1" applyAlignment="1">
      <alignment horizontal="center"/>
    </xf>
    <xf numFmtId="167" fontId="24" fillId="0" borderId="44" xfId="0" applyNumberFormat="1" applyFont="1" applyBorder="1"/>
    <xf numFmtId="2" fontId="24" fillId="0" borderId="12" xfId="0" applyNumberFormat="1" applyFont="1" applyBorder="1"/>
    <xf numFmtId="164" fontId="46" fillId="0" borderId="0" xfId="0" applyNumberFormat="1" applyFont="1" applyBorder="1" applyAlignment="1">
      <alignment horizontal="center"/>
    </xf>
    <xf numFmtId="164" fontId="24" fillId="0" borderId="8" xfId="1" applyNumberFormat="1" applyFont="1" applyBorder="1"/>
    <xf numFmtId="9" fontId="24" fillId="24" borderId="0" xfId="5" applyNumberFormat="1" applyFont="1" applyFill="1" applyBorder="1" applyAlignment="1">
      <alignment horizontal="center" vertical="center" wrapText="1"/>
    </xf>
    <xf numFmtId="164" fontId="46" fillId="0" borderId="12" xfId="0" applyNumberFormat="1" applyFont="1" applyBorder="1" applyAlignment="1">
      <alignment horizontal="right"/>
    </xf>
    <xf numFmtId="0" fontId="4" fillId="5" borderId="4" xfId="0" applyFont="1" applyFill="1" applyBorder="1"/>
    <xf numFmtId="0" fontId="4" fillId="5" borderId="63" xfId="0" applyFont="1" applyFill="1" applyBorder="1"/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26" borderId="4" xfId="0" applyFont="1" applyFill="1" applyBorder="1"/>
    <xf numFmtId="0" fontId="4" fillId="26" borderId="0" xfId="0" applyFont="1" applyFill="1"/>
    <xf numFmtId="0" fontId="5" fillId="5" borderId="0" xfId="0" applyFont="1" applyFill="1"/>
    <xf numFmtId="0" fontId="44" fillId="5" borderId="0" xfId="0" applyFont="1" applyFill="1"/>
    <xf numFmtId="0" fontId="22" fillId="5" borderId="4" xfId="0" applyFont="1" applyFill="1" applyBorder="1"/>
    <xf numFmtId="0" fontId="22" fillId="5" borderId="0" xfId="0" quotePrefix="1" applyFont="1" applyFill="1"/>
    <xf numFmtId="43" fontId="12" fillId="18" borderId="66" xfId="1" applyFont="1" applyFill="1" applyBorder="1"/>
    <xf numFmtId="43" fontId="11" fillId="0" borderId="0" xfId="1" applyFont="1"/>
    <xf numFmtId="0" fontId="24" fillId="15" borderId="24" xfId="0" applyFont="1" applyFill="1" applyBorder="1" applyAlignment="1">
      <alignment horizontal="center" vertical="center"/>
    </xf>
    <xf numFmtId="0" fontId="24" fillId="15" borderId="29" xfId="0" applyFont="1" applyFill="1" applyBorder="1" applyAlignment="1">
      <alignment horizontal="center" vertical="center"/>
    </xf>
    <xf numFmtId="0" fontId="44" fillId="8" borderId="30" xfId="0" applyFont="1" applyFill="1" applyBorder="1" applyAlignment="1">
      <alignment horizontal="center" vertical="center"/>
    </xf>
    <xf numFmtId="0" fontId="44" fillId="8" borderId="10" xfId="0" applyFont="1" applyFill="1" applyBorder="1" applyAlignment="1">
      <alignment horizontal="center" vertical="center"/>
    </xf>
    <xf numFmtId="0" fontId="44" fillId="8" borderId="11" xfId="0" applyFont="1" applyFill="1" applyBorder="1" applyAlignment="1">
      <alignment horizontal="center" vertical="center"/>
    </xf>
    <xf numFmtId="0" fontId="20" fillId="14" borderId="43" xfId="0" applyFont="1" applyFill="1" applyBorder="1" applyAlignment="1">
      <alignment horizontal="center" vertical="center" textRotation="180"/>
    </xf>
    <xf numFmtId="0" fontId="20" fillId="14" borderId="8" xfId="0" applyFont="1" applyFill="1" applyBorder="1" applyAlignment="1">
      <alignment horizontal="center" vertical="center" textRotation="180"/>
    </xf>
    <xf numFmtId="0" fontId="20" fillId="14" borderId="46" xfId="0" applyFont="1" applyFill="1" applyBorder="1" applyAlignment="1">
      <alignment horizontal="center" vertical="center" textRotation="180"/>
    </xf>
    <xf numFmtId="0" fontId="44" fillId="18" borderId="49" xfId="0" applyFont="1" applyFill="1" applyBorder="1" applyAlignment="1">
      <alignment horizontal="center" vertical="center"/>
    </xf>
    <xf numFmtId="0" fontId="44" fillId="18" borderId="50" xfId="0" applyFont="1" applyFill="1" applyBorder="1" applyAlignment="1">
      <alignment horizontal="center" vertical="center"/>
    </xf>
    <xf numFmtId="0" fontId="44" fillId="18" borderId="51" xfId="0" applyFont="1" applyFill="1" applyBorder="1" applyAlignment="1">
      <alignment horizontal="center" vertical="center"/>
    </xf>
    <xf numFmtId="43" fontId="39" fillId="5" borderId="40" xfId="1" applyFont="1" applyFill="1" applyBorder="1" applyAlignment="1">
      <alignment horizontal="center"/>
    </xf>
    <xf numFmtId="43" fontId="39" fillId="5" borderId="30" xfId="1" applyFont="1" applyFill="1" applyBorder="1" applyAlignment="1">
      <alignment horizontal="center"/>
    </xf>
    <xf numFmtId="43" fontId="39" fillId="5" borderId="41" xfId="1" applyFont="1" applyFill="1" applyBorder="1" applyAlignment="1">
      <alignment horizontal="center"/>
    </xf>
    <xf numFmtId="0" fontId="44" fillId="18" borderId="47" xfId="0" applyFont="1" applyFill="1" applyBorder="1" applyAlignment="1">
      <alignment horizontal="center" vertical="center"/>
    </xf>
    <xf numFmtId="0" fontId="44" fillId="18" borderId="10" xfId="0" applyFont="1" applyFill="1" applyBorder="1" applyAlignment="1">
      <alignment horizontal="center" vertical="center"/>
    </xf>
    <xf numFmtId="0" fontId="44" fillId="18" borderId="11" xfId="0" applyFont="1" applyFill="1" applyBorder="1" applyAlignment="1">
      <alignment horizontal="center" vertical="center"/>
    </xf>
    <xf numFmtId="0" fontId="24" fillId="15" borderId="47" xfId="0" applyFont="1" applyFill="1" applyBorder="1" applyAlignment="1">
      <alignment horizontal="center" vertical="center"/>
    </xf>
    <xf numFmtId="0" fontId="24" fillId="15" borderId="10" xfId="0" applyFont="1" applyFill="1" applyBorder="1" applyAlignment="1">
      <alignment horizontal="center" vertical="center"/>
    </xf>
    <xf numFmtId="0" fontId="24" fillId="15" borderId="11" xfId="0" applyFont="1" applyFill="1" applyBorder="1" applyAlignment="1">
      <alignment horizontal="center" vertical="center"/>
    </xf>
    <xf numFmtId="0" fontId="44" fillId="8" borderId="47" xfId="0" applyFont="1" applyFill="1" applyBorder="1" applyAlignment="1">
      <alignment horizontal="center" vertical="center"/>
    </xf>
    <xf numFmtId="0" fontId="0" fillId="24" borderId="0" xfId="5" applyFont="1" applyFill="1" applyBorder="1" applyAlignment="1">
      <alignment horizontal="left" vertical="center" wrapText="1"/>
    </xf>
    <xf numFmtId="0" fontId="0" fillId="24" borderId="12" xfId="5" applyFont="1" applyFill="1" applyBorder="1" applyAlignment="1">
      <alignment horizontal="left" vertical="center" wrapText="1"/>
    </xf>
    <xf numFmtId="12" fontId="4" fillId="5" borderId="0" xfId="1" applyNumberFormat="1" applyFont="1" applyFill="1"/>
  </cellXfs>
  <cellStyles count="6">
    <cellStyle name="Akzent2" xfId="3" builtinId="33"/>
    <cellStyle name="Akzent5" xfId="4" builtinId="45"/>
    <cellStyle name="Komma" xfId="1" builtinId="3"/>
    <cellStyle name="Link" xfId="5" builtinId="8"/>
    <cellStyle name="Prozent" xfId="2" builtinId="5"/>
    <cellStyle name="Standard" xfId="0" builtinId="0"/>
  </cellStyles>
  <dxfs count="0"/>
  <tableStyles count="0" defaultTableStyle="TableStyleMedium2" defaultPivotStyle="PivotStyleLight16"/>
  <colors>
    <mruColors>
      <color rgb="FFCC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b="1"/>
              <a:t>salary performance 2005 - 2023</a:t>
            </a:r>
          </a:p>
        </c:rich>
      </c:tx>
      <c:layout>
        <c:manualLayout>
          <c:xMode val="edge"/>
          <c:yMode val="edge"/>
          <c:x val="9.5855061525155591E-2"/>
          <c:y val="0.12121212121212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390155838165486E-2"/>
          <c:y val="0.13392385392385395"/>
          <c:w val="0.90150965405572814"/>
          <c:h val="0.6285855526800409"/>
        </c:manualLayout>
      </c:layout>
      <c:lineChart>
        <c:grouping val="stacked"/>
        <c:varyColors val="0"/>
        <c:ser>
          <c:idx val="1"/>
          <c:order val="1"/>
          <c:tx>
            <c:strRef>
              <c:f>Tabelle1!$D$39</c:f>
              <c:strCache>
                <c:ptCount val="1"/>
                <c:pt idx="0">
                  <c:v>salary mtl. brutto</c:v>
                </c:pt>
              </c:strCache>
            </c:strRef>
          </c:tx>
          <c:spPr>
            <a:ln w="22225" cap="rnd" cmpd="sng" algn="ctr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-2.563767823374653E-2"/>
                  <c:y val="8.85548397359420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2F-40A3-8681-A1D5AA5435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Tabelle1!$B$41:$B$59</c:f>
              <c:numCache>
                <c:formatCode>\d\d\.mm\.\y\y\y\y</c:formatCode>
                <c:ptCount val="19"/>
                <c:pt idx="0">
                  <c:v>38716</c:v>
                </c:pt>
                <c:pt idx="1">
                  <c:v>39080</c:v>
                </c:pt>
                <c:pt idx="2">
                  <c:v>39447</c:v>
                </c:pt>
                <c:pt idx="3">
                  <c:v>39813</c:v>
                </c:pt>
                <c:pt idx="4">
                  <c:v>40178</c:v>
                </c:pt>
                <c:pt idx="5">
                  <c:v>40543</c:v>
                </c:pt>
                <c:pt idx="6">
                  <c:v>40907</c:v>
                </c:pt>
                <c:pt idx="7">
                  <c:v>41274</c:v>
                </c:pt>
                <c:pt idx="8">
                  <c:v>41639</c:v>
                </c:pt>
                <c:pt idx="9">
                  <c:v>42004</c:v>
                </c:pt>
                <c:pt idx="10">
                  <c:v>42369</c:v>
                </c:pt>
                <c:pt idx="11">
                  <c:v>42734</c:v>
                </c:pt>
                <c:pt idx="12">
                  <c:v>43098</c:v>
                </c:pt>
                <c:pt idx="13">
                  <c:v>43465</c:v>
                </c:pt>
                <c:pt idx="14">
                  <c:v>43830</c:v>
                </c:pt>
                <c:pt idx="15">
                  <c:v>44196</c:v>
                </c:pt>
                <c:pt idx="16">
                  <c:v>44561</c:v>
                </c:pt>
                <c:pt idx="17">
                  <c:v>44925</c:v>
                </c:pt>
                <c:pt idx="18">
                  <c:v>45290</c:v>
                </c:pt>
              </c:numCache>
            </c:numRef>
          </c:cat>
          <c:val>
            <c:numRef>
              <c:f>Tabelle1!$D$41:$D$59</c:f>
              <c:numCache>
                <c:formatCode>_-* #.##0_-;\-* #.##0_-;_-* "-"??_-;_-@_-</c:formatCode>
                <c:ptCount val="19"/>
                <c:pt idx="0">
                  <c:v>4000</c:v>
                </c:pt>
                <c:pt idx="1">
                  <c:v>4120</c:v>
                </c:pt>
                <c:pt idx="2">
                  <c:v>4225.0600000000004</c:v>
                </c:pt>
                <c:pt idx="3">
                  <c:v>4352.8708333333334</c:v>
                </c:pt>
                <c:pt idx="4">
                  <c:v>4489.4733333333334</c:v>
                </c:pt>
                <c:pt idx="5">
                  <c:v>4551.75</c:v>
                </c:pt>
                <c:pt idx="6">
                  <c:v>4635.1050000000005</c:v>
                </c:pt>
                <c:pt idx="7">
                  <c:v>4771.53</c:v>
                </c:pt>
                <c:pt idx="8">
                  <c:v>4872.9674999999997</c:v>
                </c:pt>
                <c:pt idx="9">
                  <c:v>2567.5025000000001</c:v>
                </c:pt>
                <c:pt idx="10">
                  <c:v>0</c:v>
                </c:pt>
                <c:pt idx="11">
                  <c:v>1993.82</c:v>
                </c:pt>
                <c:pt idx="12">
                  <c:v>2772.39</c:v>
                </c:pt>
                <c:pt idx="13">
                  <c:v>3390.4466666666667</c:v>
                </c:pt>
                <c:pt idx="14">
                  <c:v>3856.0400000000004</c:v>
                </c:pt>
                <c:pt idx="15">
                  <c:v>3943.8575000000001</c:v>
                </c:pt>
                <c:pt idx="16">
                  <c:v>4226.0150000000003</c:v>
                </c:pt>
                <c:pt idx="17">
                  <c:v>4348.3500000000004</c:v>
                </c:pt>
                <c:pt idx="18">
                  <c:v>5670.3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2F-40A3-8681-A1D5AA543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7030A0">
                  <a:alpha val="33000"/>
                </a:srgbClr>
              </a:solidFill>
              <a:round/>
            </a:ln>
            <a:effectLst/>
          </c:spPr>
        </c:dropLines>
        <c:marker val="1"/>
        <c:smooth val="0"/>
        <c:axId val="815908567"/>
        <c:axId val="815907255"/>
      </c:lineChart>
      <c:lineChart>
        <c:grouping val="stacked"/>
        <c:varyColors val="0"/>
        <c:ser>
          <c:idx val="0"/>
          <c:order val="0"/>
          <c:tx>
            <c:strRef>
              <c:f>Tabelle1!$C$39</c:f>
              <c:strCache>
                <c:ptCount val="1"/>
                <c:pt idx="0">
                  <c:v>CPTFEMU  Index                                                  </c:v>
                </c:pt>
              </c:strCache>
            </c:strRef>
          </c:tx>
          <c:spPr>
            <a:ln w="22225" cap="rnd" cmpd="sng" algn="ctr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-2.237680904064715E-2"/>
                  <c:y val="-2.63947775758799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2F-40A3-8681-A1D5AA5435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Tabelle1!$B$41:$B$59</c:f>
              <c:numCache>
                <c:formatCode>\d\d\.mm\.\y\y\y\y</c:formatCode>
                <c:ptCount val="19"/>
                <c:pt idx="0">
                  <c:v>38716</c:v>
                </c:pt>
                <c:pt idx="1">
                  <c:v>39080</c:v>
                </c:pt>
                <c:pt idx="2">
                  <c:v>39447</c:v>
                </c:pt>
                <c:pt idx="3">
                  <c:v>39813</c:v>
                </c:pt>
                <c:pt idx="4">
                  <c:v>40178</c:v>
                </c:pt>
                <c:pt idx="5">
                  <c:v>40543</c:v>
                </c:pt>
                <c:pt idx="6">
                  <c:v>40907</c:v>
                </c:pt>
                <c:pt idx="7">
                  <c:v>41274</c:v>
                </c:pt>
                <c:pt idx="8">
                  <c:v>41639</c:v>
                </c:pt>
                <c:pt idx="9">
                  <c:v>42004</c:v>
                </c:pt>
                <c:pt idx="10">
                  <c:v>42369</c:v>
                </c:pt>
                <c:pt idx="11">
                  <c:v>42734</c:v>
                </c:pt>
                <c:pt idx="12">
                  <c:v>43098</c:v>
                </c:pt>
                <c:pt idx="13">
                  <c:v>43465</c:v>
                </c:pt>
                <c:pt idx="14">
                  <c:v>43830</c:v>
                </c:pt>
                <c:pt idx="15">
                  <c:v>44196</c:v>
                </c:pt>
                <c:pt idx="16">
                  <c:v>44561</c:v>
                </c:pt>
                <c:pt idx="17">
                  <c:v>44925</c:v>
                </c:pt>
                <c:pt idx="18">
                  <c:v>45290</c:v>
                </c:pt>
              </c:numCache>
            </c:numRef>
          </c:cat>
          <c:val>
            <c:numRef>
              <c:f>Tabelle1!$C$41:$C$59</c:f>
              <c:numCache>
                <c:formatCode>0.00</c:formatCode>
                <c:ptCount val="19"/>
                <c:pt idx="0">
                  <c:v>86.393448000000006</c:v>
                </c:pt>
                <c:pt idx="1">
                  <c:v>87.982882000000004</c:v>
                </c:pt>
                <c:pt idx="2">
                  <c:v>90.683211</c:v>
                </c:pt>
                <c:pt idx="3">
                  <c:v>92.076103000000003</c:v>
                </c:pt>
                <c:pt idx="4">
                  <c:v>92.811002000000002</c:v>
                </c:pt>
                <c:pt idx="5">
                  <c:v>94.793522999999993</c:v>
                </c:pt>
                <c:pt idx="6">
                  <c:v>97.340035999999998</c:v>
                </c:pt>
                <c:pt idx="7">
                  <c:v>99.459282000000002</c:v>
                </c:pt>
                <c:pt idx="8">
                  <c:v>100.21981700000001</c:v>
                </c:pt>
                <c:pt idx="9">
                  <c:v>99.989092999999997</c:v>
                </c:pt>
                <c:pt idx="10">
                  <c:v>100.16</c:v>
                </c:pt>
                <c:pt idx="11">
                  <c:v>101.26</c:v>
                </c:pt>
                <c:pt idx="12">
                  <c:v>102.57</c:v>
                </c:pt>
                <c:pt idx="13">
                  <c:v>104.1</c:v>
                </c:pt>
                <c:pt idx="14">
                  <c:v>105.13</c:v>
                </c:pt>
                <c:pt idx="15">
                  <c:v>104.7</c:v>
                </c:pt>
                <c:pt idx="16">
                  <c:v>109.97</c:v>
                </c:pt>
                <c:pt idx="17">
                  <c:v>120.7</c:v>
                </c:pt>
                <c:pt idx="18">
                  <c:v>120.7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F-40A3-8681-A1D5AA543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CC99FF">
                  <a:alpha val="33000"/>
                </a:srgbClr>
              </a:solidFill>
              <a:round/>
            </a:ln>
            <a:effectLst/>
          </c:spPr>
        </c:dropLines>
        <c:marker val="1"/>
        <c:smooth val="0"/>
        <c:axId val="815867895"/>
        <c:axId val="815871175"/>
      </c:lineChart>
      <c:catAx>
        <c:axId val="815908567"/>
        <c:scaling>
          <c:orientation val="minMax"/>
        </c:scaling>
        <c:delete val="0"/>
        <c:axPos val="b"/>
        <c:numFmt formatCode="dd/mm/yy" sourceLinked="0"/>
        <c:majorTickMark val="cross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5907255"/>
        <c:crosses val="autoZero"/>
        <c:auto val="1"/>
        <c:lblAlgn val="ctr"/>
        <c:lblOffset val="100"/>
        <c:tickLblSkip val="1"/>
        <c:noMultiLvlLbl val="1"/>
      </c:catAx>
      <c:valAx>
        <c:axId val="815907255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5908567"/>
        <c:crosses val="autoZero"/>
        <c:crossBetween val="between"/>
      </c:valAx>
      <c:valAx>
        <c:axId val="815871175"/>
        <c:scaling>
          <c:orientation val="minMax"/>
          <c:min val="80"/>
        </c:scaling>
        <c:delete val="0"/>
        <c:axPos val="r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5867895"/>
        <c:crosses val="max"/>
        <c:crossBetween val="between"/>
      </c:valAx>
      <c:catAx>
        <c:axId val="815867895"/>
        <c:scaling>
          <c:orientation val="minMax"/>
        </c:scaling>
        <c:delete val="1"/>
        <c:axPos val="b"/>
        <c:numFmt formatCode="\d\d\.mm\.\y\y\y\y" sourceLinked="1"/>
        <c:majorTickMark val="out"/>
        <c:minorTickMark val="none"/>
        <c:tickLblPos val="nextTo"/>
        <c:crossAx val="815871175"/>
        <c:crosses val="autoZero"/>
        <c:auto val="1"/>
        <c:lblAlgn val="ctr"/>
        <c:lblOffset val="100"/>
        <c:noMultiLvlLbl val="1"/>
      </c:cat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1809748</xdr:colOff>
      <xdr:row>67</xdr:row>
      <xdr:rowOff>104775</xdr:rowOff>
    </xdr:from>
    <xdr:to>
      <xdr:col>9</xdr:col>
      <xdr:colOff>342899</xdr:colOff>
      <xdr:row>89</xdr:row>
      <xdr:rowOff>95250</xdr:rowOff>
    </xdr:to>
    <xdr:graphicFrame macro="">
      <xdr:nvGraphicFramePr>
        <xdr:cNvPr id="128" name="Diagramm 2">
          <a:extLst>
            <a:ext uri="{FF2B5EF4-FFF2-40B4-BE49-F238E27FC236}">
              <a16:creationId xmlns:a16="http://schemas.microsoft.com/office/drawing/2014/main" id="{8822538A-1439-4C4D-87A9-424BEE74A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85725</xdr:colOff>
      <xdr:row>59</xdr:row>
      <xdr:rowOff>9525</xdr:rowOff>
    </xdr:from>
    <xdr:to>
      <xdr:col>4</xdr:col>
      <xdr:colOff>962025</xdr:colOff>
      <xdr:row>60</xdr:row>
      <xdr:rowOff>180975</xdr:rowOff>
    </xdr:to>
    <xdr:sp macro="" textlink="">
      <xdr:nvSpPr>
        <xdr:cNvPr id="133" name="Pfeil: nach unten 3">
          <a:extLst>
            <a:ext uri="{FF2B5EF4-FFF2-40B4-BE49-F238E27FC236}">
              <a16:creationId xmlns:a16="http://schemas.microsoft.com/office/drawing/2014/main" id="{67B10D28-8CAB-4543-8111-66D579F690ED}"/>
            </a:ext>
          </a:extLst>
        </xdr:cNvPr>
        <xdr:cNvSpPr/>
      </xdr:nvSpPr>
      <xdr:spPr>
        <a:xfrm>
          <a:off x="5305425" y="12325350"/>
          <a:ext cx="876300" cy="37147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elefon.s-mxs.net/OEForm.aspx?tab=0&amp;ocl=O&amp;dn=AT0196066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3873D-49FA-46B8-B12E-B66C31FC4BE0}">
  <dimension ref="A1:X114"/>
  <sheetViews>
    <sheetView tabSelected="1" zoomScale="80" zoomScaleNormal="8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U23" sqref="U23"/>
    </sheetView>
  </sheetViews>
  <sheetFormatPr baseColWidth="10" defaultRowHeight="14.25" x14ac:dyDescent="0.2"/>
  <cols>
    <col min="1" max="1" width="19.09765625" style="145" customWidth="1"/>
    <col min="2" max="2" width="13.3984375" style="145" customWidth="1"/>
    <col min="3" max="3" width="15" style="145" customWidth="1"/>
    <col min="4" max="4" width="14.5" style="145" customWidth="1"/>
    <col min="5" max="5" width="10.796875" style="145" bestFit="1" customWidth="1"/>
    <col min="6" max="6" width="11.296875" style="145" bestFit="1" customWidth="1"/>
    <col min="7" max="7" width="11.5" style="145" customWidth="1"/>
    <col min="8" max="8" width="10.8984375" style="145" customWidth="1"/>
    <col min="9" max="9" width="11.5" style="145" customWidth="1"/>
    <col min="10" max="10" width="9.59765625" style="145" customWidth="1"/>
    <col min="11" max="11" width="9" style="145" customWidth="1"/>
    <col min="12" max="12" width="10.09765625" style="145" customWidth="1"/>
    <col min="13" max="13" width="12" style="145" customWidth="1"/>
    <col min="14" max="14" width="8.8984375" style="145" bestFit="1" customWidth="1"/>
    <col min="15" max="18" width="8.69921875" style="145" bestFit="1" customWidth="1"/>
    <col min="19" max="19" width="9" style="145" bestFit="1" customWidth="1"/>
    <col min="20" max="20" width="10.3984375" style="145" customWidth="1"/>
    <col min="21" max="21" width="11.19921875" style="145"/>
    <col min="22" max="24" width="11.19921875" style="145" customWidth="1"/>
    <col min="25" max="16384" width="11.19921875" style="145"/>
  </cols>
  <sheetData>
    <row r="1" spans="1:24" s="2" customFormat="1" ht="21" thickBot="1" x14ac:dyDescent="0.35">
      <c r="A1" s="42" t="s">
        <v>0</v>
      </c>
      <c r="D1" s="49"/>
      <c r="F1" s="42" t="s">
        <v>6</v>
      </c>
    </row>
    <row r="2" spans="1:24" s="2" customFormat="1" ht="18.75" thickBot="1" x14ac:dyDescent="0.3">
      <c r="A2" s="122" t="s">
        <v>5</v>
      </c>
      <c r="B2" s="110" t="s">
        <v>22</v>
      </c>
      <c r="C2" s="111" t="s">
        <v>4</v>
      </c>
      <c r="D2" s="111" t="s">
        <v>3</v>
      </c>
      <c r="E2" s="110" t="s">
        <v>12</v>
      </c>
      <c r="F2" s="112"/>
      <c r="H2" s="109">
        <v>45108</v>
      </c>
    </row>
    <row r="3" spans="1:24" s="1" customFormat="1" ht="15" customHeight="1" thickBot="1" x14ac:dyDescent="0.25">
      <c r="A3" s="113" t="s">
        <v>2</v>
      </c>
      <c r="B3" s="46">
        <v>56000</v>
      </c>
      <c r="C3" s="47"/>
      <c r="D3" s="47"/>
      <c r="E3" s="48">
        <f>+E4+E5</f>
        <v>56000</v>
      </c>
      <c r="F3" s="291" t="s">
        <v>23</v>
      </c>
      <c r="H3" s="4"/>
    </row>
    <row r="4" spans="1:24" s="1" customFormat="1" ht="17.25" customHeight="1" thickBot="1" x14ac:dyDescent="0.3">
      <c r="A4" s="114" t="s">
        <v>10</v>
      </c>
      <c r="B4" s="23"/>
      <c r="C4" s="137" t="s">
        <v>3</v>
      </c>
      <c r="D4" s="140">
        <v>4000</v>
      </c>
      <c r="E4" s="138">
        <f>+D4*12</f>
        <v>48000</v>
      </c>
      <c r="F4" s="292"/>
      <c r="G4" s="123"/>
      <c r="H4" s="139" t="s">
        <v>28</v>
      </c>
      <c r="I4" s="124"/>
    </row>
    <row r="5" spans="1:24" s="1" customFormat="1" ht="17.25" customHeight="1" x14ac:dyDescent="0.2">
      <c r="A5" s="115" t="s">
        <v>11</v>
      </c>
      <c r="B5" s="24"/>
      <c r="C5" s="43">
        <f>+D4*50%</f>
        <v>2000</v>
      </c>
      <c r="D5" s="43">
        <f>+E5/12</f>
        <v>666.66666666666663</v>
      </c>
      <c r="E5" s="44">
        <f>+C5*4</f>
        <v>8000</v>
      </c>
      <c r="F5" s="292"/>
      <c r="H5" s="4"/>
    </row>
    <row r="6" spans="1:24" s="1" customFormat="1" ht="17.25" customHeight="1" x14ac:dyDescent="0.2">
      <c r="A6" s="116" t="s">
        <v>9</v>
      </c>
      <c r="B6" s="25"/>
      <c r="C6" s="10" t="s">
        <v>3</v>
      </c>
      <c r="D6" s="11">
        <v>1000</v>
      </c>
      <c r="E6" s="45">
        <f>+D6*12</f>
        <v>12000</v>
      </c>
      <c r="F6" s="292"/>
      <c r="H6" s="4"/>
    </row>
    <row r="7" spans="1:24" s="53" customFormat="1" ht="27" customHeight="1" thickBot="1" x14ac:dyDescent="0.3">
      <c r="A7" s="117" t="s">
        <v>1</v>
      </c>
      <c r="B7" s="118">
        <v>68000</v>
      </c>
      <c r="C7" s="119"/>
      <c r="D7" s="120">
        <f>SUM(D4:D6)</f>
        <v>5666.666666666667</v>
      </c>
      <c r="E7" s="121">
        <f>SUM(E4:E6)</f>
        <v>68000</v>
      </c>
      <c r="F7" s="293"/>
      <c r="I7" s="1"/>
      <c r="L7" s="77"/>
      <c r="S7" s="142"/>
      <c r="U7" s="141"/>
    </row>
    <row r="8" spans="1:24" s="1" customFormat="1" ht="36" customHeight="1" thickBot="1" x14ac:dyDescent="0.25">
      <c r="B8" s="294" t="s">
        <v>18</v>
      </c>
      <c r="C8" s="295"/>
      <c r="D8" s="295"/>
      <c r="E8" s="295"/>
      <c r="F8" s="296"/>
      <c r="G8" s="286" t="s">
        <v>17</v>
      </c>
      <c r="H8" s="286"/>
      <c r="I8" s="286"/>
      <c r="J8" s="286"/>
      <c r="K8" s="287"/>
      <c r="L8" s="78" t="s">
        <v>19</v>
      </c>
      <c r="M8" s="288" t="s">
        <v>21</v>
      </c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90"/>
    </row>
    <row r="9" spans="1:24" s="3" customFormat="1" ht="15.75" thickBot="1" x14ac:dyDescent="0.3">
      <c r="A9" s="41">
        <f>+COUNT(B9:T9)</f>
        <v>19</v>
      </c>
      <c r="B9" s="30">
        <v>2005</v>
      </c>
      <c r="C9" s="29">
        <v>2006</v>
      </c>
      <c r="D9" s="30">
        <v>2007</v>
      </c>
      <c r="E9" s="29">
        <v>2008</v>
      </c>
      <c r="F9" s="125">
        <v>2009</v>
      </c>
      <c r="G9" s="59">
        <v>2010</v>
      </c>
      <c r="H9" s="30">
        <v>2011</v>
      </c>
      <c r="I9" s="29">
        <v>2012</v>
      </c>
      <c r="J9" s="82">
        <v>2013</v>
      </c>
      <c r="K9" s="85">
        <v>2014</v>
      </c>
      <c r="L9" s="86">
        <v>2015</v>
      </c>
      <c r="M9" s="87">
        <v>2016</v>
      </c>
      <c r="N9" s="83">
        <v>2017</v>
      </c>
      <c r="O9" s="31">
        <v>2018</v>
      </c>
      <c r="P9" s="40">
        <v>2019</v>
      </c>
      <c r="Q9" s="31">
        <v>2020</v>
      </c>
      <c r="R9" s="40">
        <v>2021</v>
      </c>
      <c r="S9" s="31">
        <v>2022</v>
      </c>
      <c r="T9" s="40">
        <v>2023</v>
      </c>
      <c r="U9" s="126">
        <v>2023</v>
      </c>
      <c r="V9" s="126" t="s">
        <v>98</v>
      </c>
    </row>
    <row r="10" spans="1:24" s="38" customFormat="1" ht="15" x14ac:dyDescent="0.25">
      <c r="A10" s="35" t="s">
        <v>7</v>
      </c>
      <c r="B10" s="39">
        <v>1</v>
      </c>
      <c r="C10" s="36">
        <v>1</v>
      </c>
      <c r="D10" s="36">
        <v>1</v>
      </c>
      <c r="E10" s="36">
        <v>1</v>
      </c>
      <c r="F10" s="61">
        <v>1</v>
      </c>
      <c r="G10" s="60">
        <v>1</v>
      </c>
      <c r="H10" s="36">
        <v>1</v>
      </c>
      <c r="I10" s="36">
        <v>1</v>
      </c>
      <c r="J10" s="88">
        <v>1</v>
      </c>
      <c r="K10" s="89"/>
      <c r="L10" s="84"/>
      <c r="M10" s="90">
        <v>0.3896</v>
      </c>
      <c r="N10" s="60">
        <v>0.5</v>
      </c>
      <c r="O10" s="36">
        <v>0.64939999999999998</v>
      </c>
      <c r="P10" s="36">
        <v>0.74029999999999996</v>
      </c>
      <c r="Q10" s="36">
        <v>0.74029999999999996</v>
      </c>
      <c r="R10" s="36">
        <v>0.7792</v>
      </c>
      <c r="S10" s="37">
        <v>0.7792</v>
      </c>
      <c r="T10" s="37">
        <v>0.7792</v>
      </c>
      <c r="U10" s="127">
        <v>1</v>
      </c>
      <c r="V10" s="127">
        <v>1</v>
      </c>
    </row>
    <row r="11" spans="1:24" s="52" customFormat="1" ht="15.75" thickBot="1" x14ac:dyDescent="0.3">
      <c r="A11" s="50" t="s">
        <v>1</v>
      </c>
      <c r="B11" s="51">
        <f t="shared" ref="B11:D11" si="0">+B20</f>
        <v>68000</v>
      </c>
      <c r="C11" s="51">
        <f t="shared" si="0"/>
        <v>77843</v>
      </c>
      <c r="D11" s="51">
        <f t="shared" si="0"/>
        <v>112128.84</v>
      </c>
      <c r="E11" s="51">
        <f>+E20</f>
        <v>131523.70000000001</v>
      </c>
      <c r="F11" s="62">
        <f t="shared" ref="F11:I11" si="1">+F20</f>
        <v>113872.63999999998</v>
      </c>
      <c r="G11" s="51">
        <f t="shared" si="1"/>
        <v>84887.18</v>
      </c>
      <c r="H11" s="51">
        <f t="shared" si="1"/>
        <v>101296.49</v>
      </c>
      <c r="I11" s="51">
        <f t="shared" si="1"/>
        <v>99865.94</v>
      </c>
      <c r="J11" s="51">
        <f>+J20</f>
        <v>97842.05</v>
      </c>
      <c r="K11" s="91">
        <f>+K20</f>
        <v>47798.15</v>
      </c>
      <c r="L11" s="70">
        <v>0</v>
      </c>
      <c r="M11" s="92">
        <f>+M20</f>
        <v>7172.28</v>
      </c>
      <c r="N11" s="51">
        <f t="shared" ref="N11:S11" si="2">+N20</f>
        <v>38813.46</v>
      </c>
      <c r="O11" s="51">
        <f t="shared" si="2"/>
        <v>64636.24</v>
      </c>
      <c r="P11" s="51">
        <f t="shared" si="2"/>
        <v>67404.56</v>
      </c>
      <c r="Q11" s="51">
        <f t="shared" si="2"/>
        <v>73134.02</v>
      </c>
      <c r="R11" s="51">
        <f t="shared" si="2"/>
        <v>73334.23</v>
      </c>
      <c r="S11" s="51">
        <f t="shared" si="2"/>
        <v>63046.92</v>
      </c>
      <c r="T11" s="51"/>
      <c r="U11" s="128"/>
      <c r="V11" s="128"/>
    </row>
    <row r="12" spans="1:24" s="19" customFormat="1" ht="15.75" x14ac:dyDescent="0.25">
      <c r="A12" s="56" t="str">
        <f>+A4</f>
        <v>Vertragsentgelt</v>
      </c>
      <c r="B12" s="57">
        <f>+E4</f>
        <v>48000</v>
      </c>
      <c r="C12" s="58">
        <f>4120*12</f>
        <v>49440</v>
      </c>
      <c r="D12" s="58">
        <f>4225.06*12</f>
        <v>50700.72</v>
      </c>
      <c r="E12" s="185">
        <v>52234.45</v>
      </c>
      <c r="F12" s="63">
        <v>53873.68</v>
      </c>
      <c r="G12" s="58">
        <v>54621</v>
      </c>
      <c r="H12" s="58">
        <v>55621.26</v>
      </c>
      <c r="I12" s="58">
        <v>57258.36</v>
      </c>
      <c r="J12" s="58">
        <v>58475.61</v>
      </c>
      <c r="K12" s="93">
        <v>30810.03</v>
      </c>
      <c r="L12" s="71"/>
      <c r="M12" s="94">
        <v>3987.64</v>
      </c>
      <c r="N12" s="58">
        <v>33268.68</v>
      </c>
      <c r="O12" s="58">
        <v>42545.36</v>
      </c>
      <c r="P12" s="58">
        <v>48132.480000000003</v>
      </c>
      <c r="Q12" s="58">
        <v>49186.29</v>
      </c>
      <c r="R12" s="58">
        <v>52572.18</v>
      </c>
      <c r="S12" s="81">
        <v>54040.2</v>
      </c>
      <c r="T12" s="57" t="s">
        <v>16</v>
      </c>
      <c r="U12" s="129">
        <f>+U26*12</f>
        <v>69903.600000000006</v>
      </c>
      <c r="V12" s="285">
        <f>+V21*12</f>
        <v>76044</v>
      </c>
    </row>
    <row r="13" spans="1:24" s="3" customFormat="1" ht="15" x14ac:dyDescent="0.25">
      <c r="A13" s="54" t="s">
        <v>14</v>
      </c>
      <c r="B13" s="13"/>
      <c r="C13" s="14">
        <f>1030.25*12</f>
        <v>12363</v>
      </c>
      <c r="D13" s="14">
        <f>1056.5*12</f>
        <v>12678</v>
      </c>
      <c r="E13" s="14">
        <v>8706.75</v>
      </c>
      <c r="F13" s="64">
        <v>8980</v>
      </c>
      <c r="G13" s="14">
        <v>9103</v>
      </c>
      <c r="H13" s="9">
        <v>9270</v>
      </c>
      <c r="I13" s="9">
        <v>9543</v>
      </c>
      <c r="J13" s="9">
        <v>9746.25</v>
      </c>
      <c r="K13" s="95">
        <v>5134.8500000000004</v>
      </c>
      <c r="L13" s="72"/>
      <c r="M13" s="96"/>
      <c r="N13" s="9"/>
      <c r="O13" s="9"/>
      <c r="P13" s="9"/>
      <c r="Q13" s="9"/>
      <c r="R13" s="9"/>
      <c r="S13" s="9"/>
      <c r="T13" s="8"/>
      <c r="U13" s="130"/>
    </row>
    <row r="14" spans="1:24" s="3" customFormat="1" ht="28.5" x14ac:dyDescent="0.25">
      <c r="A14" s="54" t="s">
        <v>15</v>
      </c>
      <c r="B14" s="13"/>
      <c r="C14" s="14">
        <f>25*12</f>
        <v>300</v>
      </c>
      <c r="D14" s="14">
        <f>25*12</f>
        <v>300</v>
      </c>
      <c r="E14" s="14">
        <f>3482.8+870.7</f>
        <v>4353.5</v>
      </c>
      <c r="F14" s="64">
        <f>2694+1796</f>
        <v>4490</v>
      </c>
      <c r="G14" s="14">
        <f>2730.9+1820.6</f>
        <v>4551.5</v>
      </c>
      <c r="H14" s="9">
        <f>2781+1854</f>
        <v>4635</v>
      </c>
      <c r="I14" s="9">
        <f>2862.9+1908.6</f>
        <v>4771.5</v>
      </c>
      <c r="J14" s="9">
        <f>2924.55+1949.7</f>
        <v>4874.25</v>
      </c>
      <c r="K14" s="95">
        <f>1746+822.2</f>
        <v>2568.1999999999998</v>
      </c>
      <c r="L14" s="72"/>
      <c r="M14" s="97"/>
      <c r="N14" s="79"/>
      <c r="O14" s="79"/>
      <c r="P14" s="79"/>
      <c r="Q14" s="79"/>
      <c r="R14" s="79"/>
      <c r="S14" s="79"/>
      <c r="T14" s="80"/>
      <c r="U14" s="131"/>
    </row>
    <row r="15" spans="1:24" s="3" customFormat="1" ht="15" x14ac:dyDescent="0.25">
      <c r="A15" s="12" t="s">
        <v>25</v>
      </c>
      <c r="B15" s="13">
        <f>+E6</f>
        <v>12000</v>
      </c>
      <c r="C15" s="14">
        <f>SUM(C13:C14)</f>
        <v>12663</v>
      </c>
      <c r="D15" s="14">
        <f>SUM(D13:D14)</f>
        <v>12978</v>
      </c>
      <c r="E15" s="14">
        <f>SUM(E13:E14)</f>
        <v>13060.25</v>
      </c>
      <c r="F15" s="64">
        <f t="shared" ref="F15:K15" si="3">SUM(F13:F14)</f>
        <v>13470</v>
      </c>
      <c r="G15" s="14">
        <f t="shared" si="3"/>
        <v>13654.5</v>
      </c>
      <c r="H15" s="14">
        <f t="shared" si="3"/>
        <v>13905</v>
      </c>
      <c r="I15" s="14">
        <f t="shared" si="3"/>
        <v>14314.5</v>
      </c>
      <c r="J15" s="14">
        <f t="shared" si="3"/>
        <v>14620.5</v>
      </c>
      <c r="K15" s="98">
        <f t="shared" si="3"/>
        <v>7703.05</v>
      </c>
      <c r="L15" s="72"/>
      <c r="M15" s="97"/>
      <c r="N15" s="79"/>
      <c r="O15" s="79"/>
      <c r="P15" s="79"/>
      <c r="Q15" s="79"/>
      <c r="R15" s="79"/>
      <c r="S15" s="79"/>
      <c r="T15" s="80"/>
      <c r="U15" s="131"/>
    </row>
    <row r="16" spans="1:24" s="3" customFormat="1" ht="15" x14ac:dyDescent="0.25">
      <c r="A16" s="7" t="s">
        <v>11</v>
      </c>
      <c r="B16" s="16">
        <f>+E5</f>
        <v>8000</v>
      </c>
      <c r="C16" s="17">
        <f>2060*4</f>
        <v>8240</v>
      </c>
      <c r="D16" s="17">
        <f>2112.53*4</f>
        <v>8450.1200000000008</v>
      </c>
      <c r="E16" s="17">
        <f>2182.25*4</f>
        <v>8729</v>
      </c>
      <c r="F16" s="65">
        <f>2257.24*4</f>
        <v>9028.9599999999991</v>
      </c>
      <c r="G16" s="17">
        <f>2274.17*2+2281.67*2</f>
        <v>9111.68</v>
      </c>
      <c r="H16" s="17">
        <f>2329.52*3+2281.67</f>
        <v>9270.23</v>
      </c>
      <c r="I16" s="17">
        <f>2404.52*3+2329.52</f>
        <v>9543.08</v>
      </c>
      <c r="J16" s="17">
        <f>2447.14*3+2404.52</f>
        <v>9745.94</v>
      </c>
      <c r="K16" s="99">
        <f>2447.14+2493.9+194.03</f>
        <v>5135.07</v>
      </c>
      <c r="L16" s="73"/>
      <c r="M16" s="100">
        <v>664.64</v>
      </c>
      <c r="N16" s="17">
        <f>1279.4+1293.01*2+1679.36</f>
        <v>5544.78</v>
      </c>
      <c r="O16" s="17">
        <f>1679.36+1723.43*2+1964.66</f>
        <v>7090.88</v>
      </c>
      <c r="P16" s="17">
        <f>1964.66+2019.14*3</f>
        <v>8022.08</v>
      </c>
      <c r="Q16" s="17">
        <f>2019.14+2059.53*3</f>
        <v>8197.73</v>
      </c>
      <c r="R16" s="17">
        <f>2167.75+2198.1*3</f>
        <v>8762.0499999999993</v>
      </c>
      <c r="S16" s="17">
        <f>2198.1+2269.54*3</f>
        <v>9006.7199999999993</v>
      </c>
      <c r="T16" s="18"/>
      <c r="U16" s="132"/>
    </row>
    <row r="17" spans="1:23" s="20" customFormat="1" ht="15" x14ac:dyDescent="0.25">
      <c r="A17" s="21"/>
      <c r="B17" s="15">
        <f>+B12+B15+B16</f>
        <v>68000</v>
      </c>
      <c r="C17" s="15">
        <f>+C12+C15+C16</f>
        <v>70343</v>
      </c>
      <c r="D17" s="15">
        <f>+D12+D15+D16</f>
        <v>72128.84</v>
      </c>
      <c r="E17" s="15">
        <f>+E12+E15+E16</f>
        <v>74023.7</v>
      </c>
      <c r="F17" s="66">
        <f t="shared" ref="F17:K17" si="4">+F12+F15+F16</f>
        <v>76372.639999999985</v>
      </c>
      <c r="G17" s="15">
        <f t="shared" si="4"/>
        <v>77387.179999999993</v>
      </c>
      <c r="H17" s="15">
        <f t="shared" si="4"/>
        <v>78796.490000000005</v>
      </c>
      <c r="I17" s="15">
        <f t="shared" si="4"/>
        <v>81115.94</v>
      </c>
      <c r="J17" s="15">
        <f t="shared" si="4"/>
        <v>82842.05</v>
      </c>
      <c r="K17" s="101">
        <f t="shared" si="4"/>
        <v>43648.15</v>
      </c>
      <c r="L17" s="74"/>
      <c r="M17" s="102">
        <f t="shared" ref="M17:S17" si="5">SUM(M12:M16)</f>
        <v>4652.28</v>
      </c>
      <c r="N17" s="15">
        <f t="shared" si="5"/>
        <v>38813.46</v>
      </c>
      <c r="O17" s="15">
        <f t="shared" si="5"/>
        <v>49636.24</v>
      </c>
      <c r="P17" s="15">
        <f t="shared" si="5"/>
        <v>56154.560000000005</v>
      </c>
      <c r="Q17" s="15">
        <f t="shared" si="5"/>
        <v>57384.020000000004</v>
      </c>
      <c r="R17" s="15">
        <f t="shared" si="5"/>
        <v>61334.229999999996</v>
      </c>
      <c r="S17" s="15">
        <f t="shared" si="5"/>
        <v>63046.92</v>
      </c>
      <c r="T17" s="22"/>
      <c r="U17" s="133"/>
    </row>
    <row r="18" spans="1:23" s="28" customFormat="1" ht="15" x14ac:dyDescent="0.25">
      <c r="A18" s="27" t="s">
        <v>20</v>
      </c>
      <c r="B18" s="26"/>
      <c r="C18" s="26"/>
      <c r="D18" s="26"/>
      <c r="E18" s="26"/>
      <c r="F18" s="67"/>
      <c r="G18" s="26"/>
      <c r="H18" s="26"/>
      <c r="I18" s="26"/>
      <c r="J18" s="26"/>
      <c r="K18" s="103">
        <v>400</v>
      </c>
      <c r="L18" s="75"/>
      <c r="M18" s="104">
        <v>2520</v>
      </c>
      <c r="N18" s="26"/>
      <c r="O18" s="26"/>
      <c r="P18" s="26"/>
      <c r="Q18" s="26"/>
      <c r="R18" s="26"/>
      <c r="S18" s="26"/>
      <c r="T18" s="26"/>
      <c r="U18" s="134"/>
    </row>
    <row r="19" spans="1:23" s="34" customFormat="1" ht="17.25" x14ac:dyDescent="0.35">
      <c r="A19" s="32" t="s">
        <v>13</v>
      </c>
      <c r="B19" s="33"/>
      <c r="C19" s="33">
        <v>7500</v>
      </c>
      <c r="D19" s="33">
        <v>40000</v>
      </c>
      <c r="E19" s="33">
        <v>57500</v>
      </c>
      <c r="F19" s="68">
        <v>37500</v>
      </c>
      <c r="G19" s="33">
        <v>7500</v>
      </c>
      <c r="H19" s="33">
        <v>22500</v>
      </c>
      <c r="I19" s="33">
        <v>18750</v>
      </c>
      <c r="J19" s="33">
        <v>15000</v>
      </c>
      <c r="K19" s="105">
        <v>3750</v>
      </c>
      <c r="L19" s="76"/>
      <c r="M19" s="106"/>
      <c r="N19" s="33"/>
      <c r="O19" s="33">
        <v>15000</v>
      </c>
      <c r="P19" s="33">
        <v>11250</v>
      </c>
      <c r="Q19" s="33">
        <v>15750</v>
      </c>
      <c r="R19" s="33">
        <v>12000</v>
      </c>
      <c r="S19" s="242">
        <v>0</v>
      </c>
      <c r="T19" s="33"/>
      <c r="U19" s="135"/>
    </row>
    <row r="20" spans="1:23" s="3" customFormat="1" ht="15" x14ac:dyDescent="0.25">
      <c r="A20" s="186"/>
      <c r="B20" s="6">
        <f>+B17+B19</f>
        <v>68000</v>
      </c>
      <c r="C20" s="176">
        <f>+C17+C19</f>
        <v>77843</v>
      </c>
      <c r="D20" s="176">
        <f>+D17+D19</f>
        <v>112128.84</v>
      </c>
      <c r="E20" s="6">
        <f t="shared" ref="E20:J20" si="6">+E17+E19</f>
        <v>131523.70000000001</v>
      </c>
      <c r="F20" s="69">
        <f t="shared" si="6"/>
        <v>113872.63999999998</v>
      </c>
      <c r="G20" s="6">
        <f t="shared" si="6"/>
        <v>84887.18</v>
      </c>
      <c r="H20" s="6">
        <f t="shared" si="6"/>
        <v>101296.49</v>
      </c>
      <c r="I20" s="6">
        <f t="shared" si="6"/>
        <v>99865.94</v>
      </c>
      <c r="J20" s="6">
        <f t="shared" si="6"/>
        <v>97842.05</v>
      </c>
      <c r="K20" s="107">
        <f>+K17+K19+K18</f>
        <v>47798.15</v>
      </c>
      <c r="L20" s="74"/>
      <c r="M20" s="108">
        <f t="shared" ref="M20:S20" si="7">+M17+M19+M18</f>
        <v>7172.28</v>
      </c>
      <c r="N20" s="6">
        <f t="shared" si="7"/>
        <v>38813.46</v>
      </c>
      <c r="O20" s="6">
        <f t="shared" si="7"/>
        <v>64636.24</v>
      </c>
      <c r="P20" s="6">
        <f t="shared" si="7"/>
        <v>67404.56</v>
      </c>
      <c r="Q20" s="6">
        <f t="shared" si="7"/>
        <v>73134.02</v>
      </c>
      <c r="R20" s="6">
        <f t="shared" si="7"/>
        <v>73334.23</v>
      </c>
      <c r="S20" s="6">
        <f t="shared" si="7"/>
        <v>63046.92</v>
      </c>
      <c r="T20" s="5"/>
      <c r="U20" s="136"/>
    </row>
    <row r="21" spans="1:23" s="19" customFormat="1" ht="15" x14ac:dyDescent="0.25">
      <c r="A21" s="177" t="s">
        <v>8</v>
      </c>
      <c r="B21" s="204">
        <f>+D4</f>
        <v>4000</v>
      </c>
      <c r="C21" s="205">
        <f>+C12/12</f>
        <v>4120</v>
      </c>
      <c r="D21" s="205">
        <f>+D12/12</f>
        <v>4225.0600000000004</v>
      </c>
      <c r="E21" s="206">
        <f>+E12/12</f>
        <v>4352.8708333333334</v>
      </c>
      <c r="F21" s="207">
        <f>+F12/12</f>
        <v>4489.4733333333334</v>
      </c>
      <c r="G21" s="206">
        <f>+G12/12</f>
        <v>4551.75</v>
      </c>
      <c r="H21" s="206">
        <f t="shared" ref="H21:N21" si="8">+H12/12</f>
        <v>4635.1050000000005</v>
      </c>
      <c r="I21" s="206">
        <f t="shared" si="8"/>
        <v>4771.53</v>
      </c>
      <c r="J21" s="206">
        <f t="shared" si="8"/>
        <v>4872.9674999999997</v>
      </c>
      <c r="K21" s="208">
        <f t="shared" si="8"/>
        <v>2567.5025000000001</v>
      </c>
      <c r="L21" s="209"/>
      <c r="M21" s="210">
        <f>+M12/2</f>
        <v>1993.82</v>
      </c>
      <c r="N21" s="206">
        <f t="shared" si="8"/>
        <v>2772.39</v>
      </c>
      <c r="O21" s="204">
        <f>+O12/12-155</f>
        <v>3390.4466666666667</v>
      </c>
      <c r="P21" s="206">
        <f>+P12/12-155</f>
        <v>3856.0400000000004</v>
      </c>
      <c r="Q21" s="206">
        <f>+Q12/12-155</f>
        <v>3943.8575000000001</v>
      </c>
      <c r="R21" s="206">
        <f>+R12/12-155</f>
        <v>4226.0150000000003</v>
      </c>
      <c r="S21" s="206">
        <f>+S12/12-155</f>
        <v>4348.3499999999995</v>
      </c>
      <c r="T21" s="206">
        <f>+S21</f>
        <v>4348.3499999999995</v>
      </c>
      <c r="U21" s="261">
        <v>5825.3</v>
      </c>
      <c r="V21" s="284">
        <v>6337</v>
      </c>
    </row>
    <row r="22" spans="1:23" s="179" customFormat="1" ht="15" x14ac:dyDescent="0.2">
      <c r="A22" s="178"/>
      <c r="C22" s="180"/>
      <c r="L22" s="181"/>
      <c r="N22" s="206"/>
      <c r="S22" s="182"/>
      <c r="T22" s="183"/>
      <c r="U22" s="184"/>
    </row>
    <row r="23" spans="1:23" s="34" customFormat="1" ht="17.25" x14ac:dyDescent="0.35">
      <c r="A23" s="32" t="s">
        <v>13</v>
      </c>
      <c r="B23" s="33"/>
      <c r="C23" s="33">
        <v>7500</v>
      </c>
      <c r="D23" s="33">
        <v>40000</v>
      </c>
      <c r="E23" s="33">
        <v>57500</v>
      </c>
      <c r="F23" s="68">
        <v>37500</v>
      </c>
      <c r="G23" s="33">
        <v>7500</v>
      </c>
      <c r="H23" s="33">
        <v>22500</v>
      </c>
      <c r="I23" s="33">
        <v>18750</v>
      </c>
      <c r="J23" s="33">
        <v>15000</v>
      </c>
      <c r="K23" s="105">
        <v>3750</v>
      </c>
      <c r="L23" s="76"/>
      <c r="M23" s="106"/>
      <c r="N23" s="33"/>
      <c r="O23" s="33">
        <v>15000</v>
      </c>
      <c r="P23" s="33">
        <v>11250</v>
      </c>
      <c r="Q23" s="33">
        <v>15750</v>
      </c>
      <c r="R23" s="33">
        <v>12000</v>
      </c>
      <c r="S23" s="242">
        <v>0</v>
      </c>
      <c r="T23" s="33"/>
      <c r="U23" s="33"/>
      <c r="V23" s="135"/>
    </row>
    <row r="24" spans="1:23" s="213" customFormat="1" x14ac:dyDescent="0.2">
      <c r="A24" s="211" t="s">
        <v>24</v>
      </c>
      <c r="B24" s="212">
        <v>1</v>
      </c>
      <c r="C24" s="212">
        <v>1</v>
      </c>
      <c r="D24" s="212">
        <v>1</v>
      </c>
      <c r="E24" s="212">
        <v>1</v>
      </c>
      <c r="F24" s="212">
        <v>1</v>
      </c>
      <c r="G24" s="212">
        <v>1</v>
      </c>
      <c r="H24" s="212">
        <v>1</v>
      </c>
      <c r="I24" s="212">
        <v>1</v>
      </c>
      <c r="J24" s="212">
        <v>1</v>
      </c>
      <c r="K24" s="212">
        <v>1</v>
      </c>
      <c r="L24" s="212">
        <v>1</v>
      </c>
      <c r="M24" s="212">
        <v>1</v>
      </c>
      <c r="N24" s="212">
        <v>1</v>
      </c>
      <c r="O24" s="212">
        <v>1</v>
      </c>
      <c r="P24" s="212">
        <v>1</v>
      </c>
      <c r="Q24" s="212">
        <v>1</v>
      </c>
      <c r="R24" s="212">
        <v>1</v>
      </c>
      <c r="S24" s="212">
        <v>1</v>
      </c>
      <c r="T24" s="212">
        <v>1</v>
      </c>
      <c r="U24" s="212"/>
      <c r="V24" s="212"/>
      <c r="W24" s="212"/>
    </row>
    <row r="25" spans="1:23" s="55" customFormat="1" ht="15" x14ac:dyDescent="0.25">
      <c r="A25" s="214" t="s">
        <v>29</v>
      </c>
      <c r="B25" s="215">
        <f t="shared" ref="B25:S25" si="9">+B12</f>
        <v>48000</v>
      </c>
      <c r="C25" s="57">
        <f t="shared" si="9"/>
        <v>49440</v>
      </c>
      <c r="D25" s="57">
        <f t="shared" si="9"/>
        <v>50700.72</v>
      </c>
      <c r="E25" s="57">
        <f t="shared" si="9"/>
        <v>52234.45</v>
      </c>
      <c r="F25" s="217">
        <f t="shared" si="9"/>
        <v>53873.68</v>
      </c>
      <c r="G25" s="57">
        <f t="shared" si="9"/>
        <v>54621</v>
      </c>
      <c r="H25" s="57">
        <f t="shared" si="9"/>
        <v>55621.26</v>
      </c>
      <c r="I25" s="57">
        <f t="shared" si="9"/>
        <v>57258.36</v>
      </c>
      <c r="J25" s="57">
        <f t="shared" si="9"/>
        <v>58475.61</v>
      </c>
      <c r="K25" s="218">
        <f t="shared" si="9"/>
        <v>30810.03</v>
      </c>
      <c r="L25" s="217">
        <f t="shared" si="9"/>
        <v>0</v>
      </c>
      <c r="M25" s="215">
        <f t="shared" si="9"/>
        <v>3987.64</v>
      </c>
      <c r="N25" s="57">
        <f t="shared" si="9"/>
        <v>33268.68</v>
      </c>
      <c r="O25" s="57">
        <f t="shared" si="9"/>
        <v>42545.36</v>
      </c>
      <c r="P25" s="57">
        <f t="shared" si="9"/>
        <v>48132.480000000003</v>
      </c>
      <c r="Q25" s="57">
        <f t="shared" si="9"/>
        <v>49186.29</v>
      </c>
      <c r="R25" s="57">
        <f t="shared" si="9"/>
        <v>52572.18</v>
      </c>
      <c r="S25" s="57">
        <f t="shared" si="9"/>
        <v>54040.2</v>
      </c>
      <c r="T25" s="57"/>
      <c r="U25" s="216"/>
    </row>
    <row r="26" spans="1:23" s="222" customFormat="1" ht="15" x14ac:dyDescent="0.25">
      <c r="A26" s="219" t="s">
        <v>30</v>
      </c>
      <c r="B26" s="220">
        <f>+B25/12</f>
        <v>4000</v>
      </c>
      <c r="C26" s="220"/>
      <c r="D26" s="221"/>
      <c r="E26" s="220"/>
      <c r="F26" s="220"/>
      <c r="G26" s="220"/>
      <c r="H26" s="220"/>
      <c r="I26" s="220"/>
      <c r="J26" s="220"/>
      <c r="K26" s="220"/>
      <c r="L26" s="220"/>
      <c r="M26" s="220">
        <f>+M25/M10*1</f>
        <v>10235.215605749487</v>
      </c>
      <c r="N26" s="220">
        <f t="shared" ref="N26:Q26" si="10">+N25/N10*1</f>
        <v>66537.36</v>
      </c>
      <c r="O26" s="220">
        <f>+O25/O10*1</f>
        <v>65514.875269479526</v>
      </c>
      <c r="P26" s="220">
        <f t="shared" si="10"/>
        <v>65017.53343239228</v>
      </c>
      <c r="Q26" s="220">
        <f t="shared" si="10"/>
        <v>66441.023909225987</v>
      </c>
      <c r="R26" s="220">
        <f>+R25/R10*1</f>
        <v>67469.430184804922</v>
      </c>
      <c r="S26" s="220">
        <f>+S25/S10*1</f>
        <v>69353.439425051329</v>
      </c>
      <c r="T26" s="220"/>
      <c r="U26" s="221">
        <v>5825.3</v>
      </c>
    </row>
    <row r="27" spans="1:23" s="195" customFormat="1" ht="15" x14ac:dyDescent="0.25">
      <c r="A27" s="189"/>
      <c r="B27" s="190"/>
      <c r="C27" s="191"/>
      <c r="D27" s="192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4"/>
    </row>
    <row r="28" spans="1:23" s="195" customFormat="1" x14ac:dyDescent="0.2">
      <c r="C28" s="196"/>
      <c r="F28" s="187"/>
      <c r="G28" s="187"/>
      <c r="H28" s="187"/>
      <c r="I28" s="187"/>
      <c r="J28" s="187"/>
      <c r="N28" s="187"/>
      <c r="O28" s="187"/>
      <c r="P28" s="187"/>
      <c r="Q28" s="187"/>
      <c r="R28" s="187"/>
      <c r="S28" s="187"/>
    </row>
    <row r="29" spans="1:23" s="195" customFormat="1" x14ac:dyDescent="0.2">
      <c r="C29" s="196"/>
      <c r="L29" s="197"/>
      <c r="M29" s="198"/>
      <c r="N29" s="198"/>
      <c r="O29" s="198"/>
      <c r="P29" s="198"/>
      <c r="Q29" s="198"/>
      <c r="R29" s="198"/>
      <c r="S29" s="198"/>
      <c r="T29" s="198"/>
      <c r="U29" s="199"/>
    </row>
    <row r="30" spans="1:23" s="195" customFormat="1" ht="15.75" x14ac:dyDescent="0.25">
      <c r="B30" s="172"/>
      <c r="C30" s="200"/>
      <c r="E30" s="201"/>
      <c r="L30" s="202"/>
      <c r="M30" s="203"/>
      <c r="N30" s="203"/>
      <c r="O30" s="203"/>
      <c r="P30" s="203"/>
      <c r="Q30" s="203"/>
      <c r="R30" s="203"/>
      <c r="S30" s="188">
        <f>+S12/S10*1</f>
        <v>69353.439425051329</v>
      </c>
      <c r="T30" s="203"/>
    </row>
    <row r="31" spans="1:23" x14ac:dyDescent="0.2">
      <c r="A31" s="144"/>
      <c r="C31" s="146"/>
      <c r="M31" s="147"/>
      <c r="S31" s="148">
        <f>+S30/E12-1</f>
        <v>0.32773369730228485</v>
      </c>
      <c r="T31" s="145" t="s">
        <v>27</v>
      </c>
    </row>
    <row r="32" spans="1:23" ht="15" thickBot="1" x14ac:dyDescent="0.25">
      <c r="A32" s="144"/>
      <c r="B32" s="149"/>
      <c r="C32" s="146"/>
      <c r="L32" s="309">
        <v>0.8</v>
      </c>
      <c r="M32" s="147"/>
      <c r="S32" s="148"/>
    </row>
    <row r="33" spans="1:24" ht="19.5" customHeight="1" x14ac:dyDescent="0.4">
      <c r="A33" s="150"/>
      <c r="B33" s="297" t="s">
        <v>35</v>
      </c>
      <c r="C33" s="298"/>
      <c r="D33" s="298"/>
      <c r="E33" s="298"/>
      <c r="F33" s="298"/>
      <c r="G33" s="299"/>
      <c r="L33" s="145">
        <f>25/25</f>
        <v>1</v>
      </c>
      <c r="M33" s="147"/>
      <c r="S33" s="148">
        <f>+S31/19</f>
        <v>1.7249141963278151E-2</v>
      </c>
      <c r="T33" s="145" t="s">
        <v>26</v>
      </c>
    </row>
    <row r="34" spans="1:24" ht="17.25" x14ac:dyDescent="0.35">
      <c r="A34" s="144"/>
      <c r="B34" s="249" t="s">
        <v>36</v>
      </c>
      <c r="C34" s="250" t="s">
        <v>34</v>
      </c>
      <c r="D34" s="250"/>
      <c r="E34" s="250"/>
      <c r="F34" s="251"/>
      <c r="G34" s="252"/>
    </row>
    <row r="35" spans="1:24" ht="17.25" x14ac:dyDescent="0.25">
      <c r="A35" s="144"/>
      <c r="B35" s="249" t="s">
        <v>37</v>
      </c>
      <c r="C35" s="307" t="s">
        <v>38</v>
      </c>
      <c r="D35" s="307"/>
      <c r="E35" s="307"/>
      <c r="F35" s="307"/>
      <c r="G35" s="308"/>
    </row>
    <row r="36" spans="1:24" ht="17.25" x14ac:dyDescent="0.25">
      <c r="A36" s="144"/>
      <c r="B36" s="249" t="s">
        <v>39</v>
      </c>
      <c r="C36" s="307" t="s">
        <v>40</v>
      </c>
      <c r="D36" s="307"/>
      <c r="E36" s="307"/>
      <c r="F36" s="307"/>
      <c r="G36" s="308"/>
    </row>
    <row r="37" spans="1:24" ht="18" thickBot="1" x14ac:dyDescent="0.3">
      <c r="A37" s="144"/>
      <c r="B37" s="253"/>
      <c r="C37" s="254"/>
      <c r="D37" s="254"/>
      <c r="E37" s="254"/>
      <c r="F37" s="254"/>
      <c r="G37" s="255"/>
    </row>
    <row r="38" spans="1:24" ht="15" thickBot="1" x14ac:dyDescent="0.25">
      <c r="A38" s="144"/>
      <c r="B38" s="144"/>
      <c r="C38" s="144"/>
      <c r="E38" s="225"/>
      <c r="F38" s="225"/>
      <c r="K38" s="259"/>
    </row>
    <row r="39" spans="1:24" s="3" customFormat="1" ht="30.75" thickBot="1" x14ac:dyDescent="0.25">
      <c r="A39" s="150"/>
      <c r="C39" s="163" t="s">
        <v>33</v>
      </c>
      <c r="D39" s="233" t="s">
        <v>41</v>
      </c>
      <c r="E39" s="158" t="s">
        <v>45</v>
      </c>
      <c r="F39" s="230" t="s">
        <v>43</v>
      </c>
      <c r="G39" s="157" t="s">
        <v>44</v>
      </c>
      <c r="H39" s="239"/>
      <c r="I39" s="239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</row>
    <row r="40" spans="1:24" s="3" customFormat="1" ht="15.75" thickBot="1" x14ac:dyDescent="0.25">
      <c r="A40" s="144"/>
      <c r="B40" s="159" t="s">
        <v>31</v>
      </c>
      <c r="C40" s="174" t="s">
        <v>32</v>
      </c>
      <c r="D40" s="227"/>
      <c r="E40" s="236"/>
      <c r="F40" s="228"/>
      <c r="G40" s="229"/>
      <c r="H40" s="239" t="s">
        <v>46</v>
      </c>
      <c r="I40" s="239" t="s">
        <v>47</v>
      </c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</row>
    <row r="41" spans="1:24" s="3" customFormat="1" ht="15.75" thickBot="1" x14ac:dyDescent="0.3">
      <c r="A41" s="144"/>
      <c r="B41" s="175">
        <v>38716</v>
      </c>
      <c r="C41" s="164">
        <v>86.393448000000006</v>
      </c>
      <c r="D41" s="240">
        <v>4000</v>
      </c>
      <c r="E41" s="237">
        <f t="shared" ref="E41:E50" si="11">+D41*12</f>
        <v>48000</v>
      </c>
      <c r="F41" s="226">
        <v>1</v>
      </c>
      <c r="G41" s="244">
        <f>+B11</f>
        <v>68000</v>
      </c>
      <c r="H41" s="258">
        <v>100</v>
      </c>
      <c r="I41" s="258">
        <v>100</v>
      </c>
      <c r="J41" s="260">
        <f>+D41</f>
        <v>4000</v>
      </c>
      <c r="K41" s="259">
        <f>+I41-H41</f>
        <v>0</v>
      </c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</row>
    <row r="42" spans="1:24" s="3" customFormat="1" x14ac:dyDescent="0.2">
      <c r="A42" s="150"/>
      <c r="B42" s="161">
        <v>39080</v>
      </c>
      <c r="C42" s="165">
        <v>87.982882000000004</v>
      </c>
      <c r="D42" s="234">
        <f>+C21</f>
        <v>4120</v>
      </c>
      <c r="E42" s="238">
        <f t="shared" si="11"/>
        <v>49440</v>
      </c>
      <c r="F42" s="231">
        <v>1</v>
      </c>
      <c r="G42" s="244">
        <f>+C11</f>
        <v>77843</v>
      </c>
      <c r="H42" s="258">
        <f>+$H$41/$C$41*C42</f>
        <v>101.83976220048538</v>
      </c>
      <c r="I42" s="258">
        <f>+$H$41/$J$41*J42</f>
        <v>103</v>
      </c>
      <c r="J42" s="260">
        <f t="shared" ref="J42:J48" si="12">+D42</f>
        <v>4120</v>
      </c>
      <c r="K42" s="259">
        <f t="shared" ref="K42:K58" si="13">+I42-H42</f>
        <v>1.1602377995146185</v>
      </c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</row>
    <row r="43" spans="1:24" s="3" customFormat="1" x14ac:dyDescent="0.2">
      <c r="A43" s="144"/>
      <c r="B43" s="161">
        <v>39447</v>
      </c>
      <c r="C43" s="165">
        <v>90.683211</v>
      </c>
      <c r="D43" s="234">
        <f>+D21</f>
        <v>4225.0600000000004</v>
      </c>
      <c r="E43" s="238">
        <f t="shared" si="11"/>
        <v>50700.72</v>
      </c>
      <c r="F43" s="231">
        <v>1</v>
      </c>
      <c r="G43" s="244">
        <f>+D11</f>
        <v>112128.84</v>
      </c>
      <c r="H43" s="258">
        <f t="shared" ref="H43:H58" si="14">+$H$41/$C$41*C43</f>
        <v>104.9653800135399</v>
      </c>
      <c r="I43" s="258">
        <f t="shared" ref="I43:I58" si="15">+$H$41/$J$41*J43</f>
        <v>105.62650000000002</v>
      </c>
      <c r="J43" s="260">
        <f t="shared" si="12"/>
        <v>4225.0600000000004</v>
      </c>
      <c r="K43" s="259">
        <f t="shared" si="13"/>
        <v>0.66111998646012182</v>
      </c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</row>
    <row r="44" spans="1:24" s="3" customFormat="1" x14ac:dyDescent="0.2">
      <c r="A44" s="153"/>
      <c r="B44" s="161">
        <v>39813</v>
      </c>
      <c r="C44" s="165">
        <v>92.076103000000003</v>
      </c>
      <c r="D44" s="234">
        <f>+E21</f>
        <v>4352.8708333333334</v>
      </c>
      <c r="E44" s="238">
        <f t="shared" si="11"/>
        <v>52234.45</v>
      </c>
      <c r="F44" s="231">
        <v>1</v>
      </c>
      <c r="G44" s="244">
        <f>+E11</f>
        <v>131523.70000000001</v>
      </c>
      <c r="H44" s="258">
        <f t="shared" si="14"/>
        <v>106.57764579554689</v>
      </c>
      <c r="I44" s="258">
        <f t="shared" si="15"/>
        <v>108.82177083333335</v>
      </c>
      <c r="J44" s="260">
        <f t="shared" si="12"/>
        <v>4352.8708333333334</v>
      </c>
      <c r="K44" s="259">
        <f t="shared" si="13"/>
        <v>2.2441250377864606</v>
      </c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</row>
    <row r="45" spans="1:24" s="3" customFormat="1" x14ac:dyDescent="0.2">
      <c r="A45" s="150"/>
      <c r="B45" s="161">
        <v>40178</v>
      </c>
      <c r="C45" s="165">
        <v>92.811002000000002</v>
      </c>
      <c r="D45" s="234">
        <f>+F21</f>
        <v>4489.4733333333334</v>
      </c>
      <c r="E45" s="238">
        <f t="shared" si="11"/>
        <v>53873.68</v>
      </c>
      <c r="F45" s="231">
        <v>1</v>
      </c>
      <c r="G45" s="244">
        <f>+F11</f>
        <v>113872.63999999998</v>
      </c>
      <c r="H45" s="258">
        <f t="shared" si="14"/>
        <v>107.42828784886557</v>
      </c>
      <c r="I45" s="258">
        <f t="shared" si="15"/>
        <v>112.23683333333334</v>
      </c>
      <c r="J45" s="260">
        <f t="shared" si="12"/>
        <v>4489.4733333333334</v>
      </c>
      <c r="K45" s="259">
        <f t="shared" si="13"/>
        <v>4.8085454844677713</v>
      </c>
      <c r="L45" s="145"/>
      <c r="M45" s="145"/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</row>
    <row r="46" spans="1:24" s="3" customFormat="1" x14ac:dyDescent="0.2">
      <c r="A46" s="144"/>
      <c r="B46" s="161">
        <v>40543</v>
      </c>
      <c r="C46" s="165">
        <v>94.793522999999993</v>
      </c>
      <c r="D46" s="234">
        <f>+G21</f>
        <v>4551.75</v>
      </c>
      <c r="E46" s="238">
        <f t="shared" si="11"/>
        <v>54621</v>
      </c>
      <c r="F46" s="231">
        <v>1</v>
      </c>
      <c r="G46" s="244">
        <f>+G11</f>
        <v>84887.18</v>
      </c>
      <c r="H46" s="258">
        <f t="shared" si="14"/>
        <v>109.7230463587933</v>
      </c>
      <c r="I46" s="258">
        <f t="shared" si="15"/>
        <v>113.79375</v>
      </c>
      <c r="J46" s="260">
        <f t="shared" si="12"/>
        <v>4551.75</v>
      </c>
      <c r="K46" s="259">
        <f t="shared" si="13"/>
        <v>4.0707036412067055</v>
      </c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</row>
    <row r="47" spans="1:24" s="3" customFormat="1" x14ac:dyDescent="0.2">
      <c r="A47" s="154"/>
      <c r="B47" s="161">
        <v>40907</v>
      </c>
      <c r="C47" s="165">
        <v>97.340035999999998</v>
      </c>
      <c r="D47" s="234">
        <f>+H21</f>
        <v>4635.1050000000005</v>
      </c>
      <c r="E47" s="238">
        <f t="shared" si="11"/>
        <v>55621.260000000009</v>
      </c>
      <c r="F47" s="231">
        <v>1</v>
      </c>
      <c r="G47" s="244">
        <f>+H11</f>
        <v>101296.49</v>
      </c>
      <c r="H47" s="258">
        <f t="shared" si="14"/>
        <v>112.67062289260637</v>
      </c>
      <c r="I47" s="258">
        <f t="shared" si="15"/>
        <v>115.87762500000002</v>
      </c>
      <c r="J47" s="260">
        <f t="shared" si="12"/>
        <v>4635.1050000000005</v>
      </c>
      <c r="K47" s="259">
        <f t="shared" si="13"/>
        <v>3.2070021073936488</v>
      </c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</row>
    <row r="48" spans="1:24" s="3" customFormat="1" x14ac:dyDescent="0.2">
      <c r="A48" s="144"/>
      <c r="B48" s="161">
        <v>41274</v>
      </c>
      <c r="C48" s="165">
        <v>99.459282000000002</v>
      </c>
      <c r="D48" s="234">
        <f>+I21</f>
        <v>4771.53</v>
      </c>
      <c r="E48" s="238">
        <f t="shared" si="11"/>
        <v>57258.36</v>
      </c>
      <c r="F48" s="231">
        <v>1</v>
      </c>
      <c r="G48" s="244">
        <f>+I11</f>
        <v>99865.94</v>
      </c>
      <c r="H48" s="258">
        <f t="shared" si="14"/>
        <v>115.12363993158368</v>
      </c>
      <c r="I48" s="258">
        <f t="shared" si="15"/>
        <v>119.28825000000001</v>
      </c>
      <c r="J48" s="260">
        <f t="shared" si="12"/>
        <v>4771.53</v>
      </c>
      <c r="K48" s="259">
        <f t="shared" si="13"/>
        <v>4.164610068416323</v>
      </c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</row>
    <row r="49" spans="1:24" s="3" customFormat="1" x14ac:dyDescent="0.2">
      <c r="A49" s="144"/>
      <c r="B49" s="161">
        <v>41639</v>
      </c>
      <c r="C49" s="165">
        <v>100.21981700000001</v>
      </c>
      <c r="D49" s="234">
        <f>+J21</f>
        <v>4872.9674999999997</v>
      </c>
      <c r="E49" s="238">
        <f t="shared" si="11"/>
        <v>58475.61</v>
      </c>
      <c r="F49" s="231">
        <v>1</v>
      </c>
      <c r="G49" s="244">
        <f>+J11</f>
        <v>97842.05</v>
      </c>
      <c r="H49" s="258">
        <f t="shared" si="14"/>
        <v>116.0039555314426</v>
      </c>
      <c r="I49" s="258">
        <f t="shared" si="15"/>
        <v>121.82418749999999</v>
      </c>
      <c r="J49" s="260">
        <f>+D49</f>
        <v>4872.9674999999997</v>
      </c>
      <c r="K49" s="259">
        <f t="shared" si="13"/>
        <v>5.820231968557394</v>
      </c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</row>
    <row r="50" spans="1:24" s="3" customFormat="1" x14ac:dyDescent="0.2">
      <c r="A50" s="150"/>
      <c r="B50" s="161">
        <v>42004</v>
      </c>
      <c r="C50" s="165">
        <v>99.989092999999997</v>
      </c>
      <c r="D50" s="234">
        <f>+K21</f>
        <v>2567.5025000000001</v>
      </c>
      <c r="E50" s="238">
        <f t="shared" si="11"/>
        <v>30810.03</v>
      </c>
      <c r="F50" s="231">
        <v>1</v>
      </c>
      <c r="G50" s="244">
        <f>+K11</f>
        <v>47798.15</v>
      </c>
      <c r="H50" s="258"/>
      <c r="I50" s="258">
        <f t="shared" si="15"/>
        <v>0</v>
      </c>
      <c r="J50" s="260"/>
      <c r="K50" s="259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</row>
    <row r="51" spans="1:24" s="3" customFormat="1" x14ac:dyDescent="0.2">
      <c r="A51" s="273" t="s">
        <v>19</v>
      </c>
      <c r="B51" s="268">
        <v>42369</v>
      </c>
      <c r="C51" s="269">
        <v>100.16</v>
      </c>
      <c r="D51" s="270">
        <v>0</v>
      </c>
      <c r="E51" s="271"/>
      <c r="F51" s="272"/>
      <c r="G51" s="244">
        <f>+L11</f>
        <v>0</v>
      </c>
      <c r="H51" s="258"/>
      <c r="I51" s="258">
        <f t="shared" si="15"/>
        <v>0</v>
      </c>
      <c r="J51" s="260"/>
      <c r="K51" s="259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</row>
    <row r="52" spans="1:24" s="3" customFormat="1" x14ac:dyDescent="0.2">
      <c r="A52" s="150"/>
      <c r="B52" s="161">
        <v>42734</v>
      </c>
      <c r="C52" s="165">
        <v>101.26</v>
      </c>
      <c r="D52" s="234">
        <f>+M21</f>
        <v>1993.82</v>
      </c>
      <c r="E52" s="238">
        <f t="shared" ref="E52:E59" si="16">+D52*12</f>
        <v>23925.84</v>
      </c>
      <c r="F52" s="231">
        <v>0.3896</v>
      </c>
      <c r="G52" s="244">
        <f>+M11</f>
        <v>7172.28</v>
      </c>
      <c r="H52" s="258">
        <f t="shared" si="14"/>
        <v>117.20796234455186</v>
      </c>
      <c r="I52" s="258">
        <f t="shared" si="15"/>
        <v>117.66818531827515</v>
      </c>
      <c r="J52" s="260">
        <f>+D52/F52*0.95-155</f>
        <v>4706.7274127310056</v>
      </c>
      <c r="K52" s="259">
        <f t="shared" si="13"/>
        <v>0.46022297372329035</v>
      </c>
      <c r="L52" s="260">
        <f t="shared" ref="L52:L57" si="17">+D52-170</f>
        <v>1823.82</v>
      </c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</row>
    <row r="53" spans="1:24" s="3" customFormat="1" x14ac:dyDescent="0.2">
      <c r="A53" s="144"/>
      <c r="B53" s="161">
        <v>43098</v>
      </c>
      <c r="C53" s="165">
        <v>102.57</v>
      </c>
      <c r="D53" s="234">
        <f>+N21</f>
        <v>2772.39</v>
      </c>
      <c r="E53" s="238">
        <f t="shared" si="16"/>
        <v>33268.68</v>
      </c>
      <c r="F53" s="231">
        <v>0.5</v>
      </c>
      <c r="G53" s="244">
        <f>+N11</f>
        <v>38813.46</v>
      </c>
      <c r="H53" s="258">
        <f t="shared" si="14"/>
        <v>118.72428103575629</v>
      </c>
      <c r="I53" s="258">
        <f t="shared" si="15"/>
        <v>127.81352499999998</v>
      </c>
      <c r="J53" s="260">
        <f t="shared" ref="J53:J59" si="18">+D53/F53*0.95-155</f>
        <v>5112.5409999999993</v>
      </c>
      <c r="K53" s="259">
        <f t="shared" si="13"/>
        <v>9.0892439642436926</v>
      </c>
      <c r="L53" s="260">
        <f t="shared" si="17"/>
        <v>2602.39</v>
      </c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</row>
    <row r="54" spans="1:24" s="3" customFormat="1" x14ac:dyDescent="0.2">
      <c r="A54" s="144"/>
      <c r="B54" s="161">
        <v>43465</v>
      </c>
      <c r="C54" s="165">
        <v>104.1</v>
      </c>
      <c r="D54" s="234">
        <f>+O21</f>
        <v>3390.4466666666667</v>
      </c>
      <c r="E54" s="238">
        <f t="shared" si="16"/>
        <v>40685.360000000001</v>
      </c>
      <c r="F54" s="231">
        <v>0.64939999999999998</v>
      </c>
      <c r="G54" s="244">
        <f>+O11</f>
        <v>64636.24</v>
      </c>
      <c r="H54" s="258">
        <f t="shared" si="14"/>
        <v>120.49524866746837</v>
      </c>
      <c r="I54" s="258">
        <f t="shared" si="15"/>
        <v>120.12116312493583</v>
      </c>
      <c r="J54" s="260">
        <f t="shared" si="18"/>
        <v>4804.8465249974333</v>
      </c>
      <c r="K54" s="259">
        <f t="shared" si="13"/>
        <v>-0.37408554253254067</v>
      </c>
      <c r="L54" s="260">
        <f t="shared" si="17"/>
        <v>3220.4466666666667</v>
      </c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</row>
    <row r="55" spans="1:24" s="3" customFormat="1" x14ac:dyDescent="0.2">
      <c r="A55" s="150"/>
      <c r="B55" s="161">
        <v>43830</v>
      </c>
      <c r="C55" s="165">
        <v>105.13</v>
      </c>
      <c r="D55" s="234">
        <f>+P21</f>
        <v>3856.0400000000004</v>
      </c>
      <c r="E55" s="238">
        <f t="shared" si="16"/>
        <v>46272.480000000003</v>
      </c>
      <c r="F55" s="231">
        <v>0.74029999999999996</v>
      </c>
      <c r="G55" s="244">
        <f>+P11</f>
        <v>67404.56</v>
      </c>
      <c r="H55" s="258">
        <f t="shared" si="14"/>
        <v>121.68746870711767</v>
      </c>
      <c r="I55" s="258">
        <f t="shared" si="15"/>
        <v>119.8328886937728</v>
      </c>
      <c r="J55" s="260">
        <f t="shared" si="18"/>
        <v>4793.3155477509117</v>
      </c>
      <c r="K55" s="259">
        <f t="shared" si="13"/>
        <v>-1.8545800133448722</v>
      </c>
      <c r="L55" s="260">
        <f t="shared" si="17"/>
        <v>3686.0400000000004</v>
      </c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</row>
    <row r="56" spans="1:24" s="3" customFormat="1" x14ac:dyDescent="0.2">
      <c r="A56" s="144"/>
      <c r="B56" s="161">
        <v>44196</v>
      </c>
      <c r="C56" s="165">
        <v>104.7</v>
      </c>
      <c r="D56" s="234">
        <f>+Q21</f>
        <v>3943.8575000000001</v>
      </c>
      <c r="E56" s="238">
        <f t="shared" si="16"/>
        <v>47326.29</v>
      </c>
      <c r="F56" s="231">
        <v>0.74029999999999996</v>
      </c>
      <c r="G56" s="244">
        <f>+Q11</f>
        <v>73134.02</v>
      </c>
      <c r="H56" s="258">
        <f t="shared" si="14"/>
        <v>121.1897457779437</v>
      </c>
      <c r="I56" s="258">
        <f t="shared" si="15"/>
        <v>122.65021359583953</v>
      </c>
      <c r="J56" s="260">
        <f t="shared" si="18"/>
        <v>4906.0085438335809</v>
      </c>
      <c r="K56" s="259">
        <f t="shared" si="13"/>
        <v>1.4604678178958324</v>
      </c>
      <c r="L56" s="260">
        <f t="shared" si="17"/>
        <v>3773.8575000000001</v>
      </c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</row>
    <row r="57" spans="1:24" s="3" customFormat="1" x14ac:dyDescent="0.2">
      <c r="A57" s="154"/>
      <c r="B57" s="161">
        <v>44561</v>
      </c>
      <c r="C57" s="165">
        <v>109.97</v>
      </c>
      <c r="D57" s="234">
        <f>+R21</f>
        <v>4226.0150000000003</v>
      </c>
      <c r="E57" s="238">
        <f t="shared" si="16"/>
        <v>50712.180000000008</v>
      </c>
      <c r="F57" s="231">
        <v>0.74029999999999996</v>
      </c>
      <c r="G57" s="244">
        <f>+R11</f>
        <v>73334.23</v>
      </c>
      <c r="H57" s="258">
        <f t="shared" si="14"/>
        <v>127.28974539828528</v>
      </c>
      <c r="I57" s="258">
        <f t="shared" si="15"/>
        <v>131.7022744157774</v>
      </c>
      <c r="J57" s="260">
        <f t="shared" si="18"/>
        <v>5268.0909766310961</v>
      </c>
      <c r="K57" s="259">
        <f t="shared" si="13"/>
        <v>4.412529017492119</v>
      </c>
      <c r="L57" s="260">
        <f t="shared" si="17"/>
        <v>4056.0150000000003</v>
      </c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</row>
    <row r="58" spans="1:24" s="3" customFormat="1" ht="15.75" thickBot="1" x14ac:dyDescent="0.3">
      <c r="A58" s="144"/>
      <c r="B58" s="162">
        <v>44925</v>
      </c>
      <c r="C58" s="166">
        <v>120.7</v>
      </c>
      <c r="D58" s="234">
        <f>4503.35-155</f>
        <v>4348.3500000000004</v>
      </c>
      <c r="E58" s="238">
        <f t="shared" si="16"/>
        <v>52180.200000000004</v>
      </c>
      <c r="F58" s="231">
        <v>0.74</v>
      </c>
      <c r="G58" s="244">
        <f>+S11</f>
        <v>63046.92</v>
      </c>
      <c r="H58" s="258">
        <f t="shared" si="14"/>
        <v>139.70966872395229</v>
      </c>
      <c r="I58" s="258">
        <f t="shared" si="15"/>
        <v>135.68353040540543</v>
      </c>
      <c r="J58" s="260">
        <f t="shared" si="18"/>
        <v>5427.3412162162167</v>
      </c>
      <c r="K58" s="259">
        <f t="shared" si="13"/>
        <v>-4.026138318546856</v>
      </c>
      <c r="L58" s="260">
        <f>+D58-170</f>
        <v>4178.3500000000004</v>
      </c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</row>
    <row r="59" spans="1:24" s="3" customFormat="1" ht="15.75" thickBot="1" x14ac:dyDescent="0.3">
      <c r="A59" s="144"/>
      <c r="B59" s="160">
        <v>45290</v>
      </c>
      <c r="C59" s="224">
        <v>120.7</v>
      </c>
      <c r="D59" s="235">
        <f>5825.3-155</f>
        <v>5670.3</v>
      </c>
      <c r="E59" s="246">
        <f t="shared" si="16"/>
        <v>68043.600000000006</v>
      </c>
      <c r="F59" s="232">
        <v>1</v>
      </c>
      <c r="G59" s="243"/>
      <c r="H59" s="258">
        <f>+$H$41/$C$41*C59</f>
        <v>139.70966872395229</v>
      </c>
      <c r="I59" s="258">
        <f>+$H$41/$J$41*J59</f>
        <v>130.794625</v>
      </c>
      <c r="J59" s="260">
        <f t="shared" si="18"/>
        <v>5231.7849999999999</v>
      </c>
      <c r="K59" s="259"/>
      <c r="L59" s="260">
        <f>+D59-170</f>
        <v>5500.3</v>
      </c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</row>
    <row r="60" spans="1:24" s="3" customFormat="1" ht="15.75" thickBot="1" x14ac:dyDescent="0.3">
      <c r="A60" s="150"/>
      <c r="B60" s="156" t="s">
        <v>27</v>
      </c>
      <c r="C60" s="143">
        <f>+C58/C41-1</f>
        <v>0.39709668723952296</v>
      </c>
      <c r="D60" s="245">
        <f>+D59/D41-1</f>
        <v>0.41757500000000003</v>
      </c>
      <c r="E60" s="247"/>
      <c r="F60" s="225"/>
      <c r="G60" s="145"/>
      <c r="H60" s="241">
        <f>AVERAGE(H41:H59)</f>
        <v>116.4909488206995</v>
      </c>
      <c r="I60" s="241">
        <f>AVERAGE(I41:I59)</f>
        <v>105.61764853793015</v>
      </c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</row>
    <row r="61" spans="1:24" s="3" customFormat="1" ht="17.25" x14ac:dyDescent="0.25">
      <c r="A61" s="150"/>
      <c r="B61" s="171" t="s">
        <v>42</v>
      </c>
      <c r="C61" s="173">
        <f>+COUNT(B41:B59)</f>
        <v>19</v>
      </c>
      <c r="D61" s="155"/>
      <c r="E61" s="223"/>
      <c r="F61" s="155"/>
      <c r="G61" s="145"/>
      <c r="H61" s="241">
        <f>+H60-H41</f>
        <v>16.490948820699501</v>
      </c>
      <c r="I61" s="241">
        <f>+I60-I41</f>
        <v>5.6176485379301511</v>
      </c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</row>
    <row r="62" spans="1:24" s="3" customFormat="1" ht="18" thickBot="1" x14ac:dyDescent="0.25">
      <c r="A62" s="144"/>
      <c r="B62" s="152"/>
      <c r="C62" s="263"/>
      <c r="D62" s="263"/>
      <c r="E62" s="248">
        <v>90000</v>
      </c>
      <c r="F62" s="155"/>
      <c r="G62" s="152"/>
      <c r="H62" s="239"/>
      <c r="I62" s="258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</row>
    <row r="63" spans="1:24" s="3" customFormat="1" ht="24" thickTop="1" x14ac:dyDescent="0.35">
      <c r="A63" s="150"/>
      <c r="B63" s="167" t="s">
        <v>50</v>
      </c>
      <c r="C63" s="168"/>
      <c r="D63" s="264"/>
      <c r="E63" s="256"/>
      <c r="F63" s="155"/>
      <c r="G63" s="145"/>
      <c r="H63" s="239"/>
      <c r="I63" s="258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</row>
    <row r="64" spans="1:24" s="3" customFormat="1" ht="17.25" x14ac:dyDescent="0.35">
      <c r="A64" s="145"/>
      <c r="B64" s="262" t="s">
        <v>48</v>
      </c>
      <c r="C64" s="170"/>
      <c r="D64" s="151"/>
      <c r="E64" s="257"/>
      <c r="F64" s="155"/>
      <c r="G64" s="145"/>
      <c r="H64" s="239"/>
      <c r="I64" s="258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</row>
    <row r="65" spans="1:24" s="3" customFormat="1" ht="30" x14ac:dyDescent="0.35">
      <c r="A65" s="145"/>
      <c r="B65" s="169" t="s">
        <v>49</v>
      </c>
      <c r="C65" s="265" t="s">
        <v>51</v>
      </c>
      <c r="D65" s="151"/>
      <c r="E65" s="155"/>
      <c r="G65" s="145"/>
      <c r="H65" s="239"/>
      <c r="I65" s="258"/>
      <c r="J65" s="145"/>
      <c r="K65" s="145"/>
      <c r="L65" s="145"/>
      <c r="M65" s="145"/>
      <c r="N65" s="145">
        <v>301</v>
      </c>
      <c r="O65" s="145"/>
      <c r="P65" s="145"/>
      <c r="Q65" s="145"/>
      <c r="R65" s="145"/>
      <c r="S65" s="145"/>
      <c r="T65" s="145"/>
      <c r="U65" s="145"/>
      <c r="V65" s="145"/>
      <c r="W65" s="145"/>
      <c r="X65" s="145"/>
    </row>
    <row r="66" spans="1:24" ht="21.75" thickBot="1" x14ac:dyDescent="0.4">
      <c r="B66" s="266">
        <f>+D60-C60</f>
        <v>2.0478312760477069E-2</v>
      </c>
      <c r="C66" s="267">
        <f>+B66/19</f>
        <v>1.077805934761951E-3</v>
      </c>
      <c r="D66" s="151"/>
      <c r="E66" s="155"/>
      <c r="F66" s="155"/>
      <c r="I66" s="258"/>
      <c r="N66" s="145">
        <f>+N65/12</f>
        <v>25.083333333333332</v>
      </c>
    </row>
    <row r="67" spans="1:24" ht="18" thickTop="1" x14ac:dyDescent="0.35">
      <c r="D67" s="151"/>
      <c r="E67" s="155"/>
      <c r="F67" s="155"/>
    </row>
    <row r="68" spans="1:24" ht="17.25" x14ac:dyDescent="0.2">
      <c r="E68" s="155"/>
      <c r="F68" s="155"/>
    </row>
    <row r="69" spans="1:24" ht="17.25" x14ac:dyDescent="0.2">
      <c r="E69" s="155"/>
      <c r="F69" s="155"/>
    </row>
    <row r="70" spans="1:24" ht="17.25" x14ac:dyDescent="0.2">
      <c r="E70" s="155"/>
      <c r="F70" s="155"/>
    </row>
    <row r="98" spans="2:12" x14ac:dyDescent="0.2">
      <c r="B98" s="195">
        <v>1</v>
      </c>
      <c r="C98" s="195">
        <v>2</v>
      </c>
      <c r="D98" s="195">
        <v>3</v>
      </c>
      <c r="E98" s="195">
        <v>4</v>
      </c>
      <c r="F98" s="195">
        <v>5</v>
      </c>
      <c r="G98" s="195">
        <v>6</v>
      </c>
      <c r="H98" s="195">
        <v>7</v>
      </c>
      <c r="I98" s="195">
        <v>8</v>
      </c>
      <c r="J98" s="195">
        <v>9</v>
      </c>
      <c r="K98" s="195">
        <v>10</v>
      </c>
    </row>
    <row r="99" spans="2:12" ht="15" thickBot="1" x14ac:dyDescent="0.25">
      <c r="B99" s="274"/>
      <c r="C99" s="274"/>
      <c r="D99" s="274"/>
      <c r="E99" s="274"/>
      <c r="F99" s="274"/>
      <c r="G99" s="275"/>
      <c r="H99" s="275"/>
      <c r="I99" s="275"/>
      <c r="J99" s="275"/>
      <c r="K99" s="275"/>
      <c r="L99" s="277" t="s">
        <v>52</v>
      </c>
    </row>
    <row r="100" spans="2:12" ht="15" thickBot="1" x14ac:dyDescent="0.25">
      <c r="B100" s="300" t="s">
        <v>18</v>
      </c>
      <c r="C100" s="301"/>
      <c r="D100" s="301"/>
      <c r="E100" s="301"/>
      <c r="F100" s="302"/>
      <c r="G100" s="303" t="s">
        <v>64</v>
      </c>
      <c r="H100" s="304"/>
      <c r="I100" s="304"/>
      <c r="J100" s="304"/>
      <c r="K100" s="305"/>
    </row>
    <row r="101" spans="2:12" x14ac:dyDescent="0.2">
      <c r="B101" s="145" t="s">
        <v>53</v>
      </c>
      <c r="C101" s="145" t="s">
        <v>56</v>
      </c>
      <c r="D101" s="145" t="s">
        <v>59</v>
      </c>
      <c r="E101" s="145" t="s">
        <v>63</v>
      </c>
      <c r="H101" s="145" t="s">
        <v>95</v>
      </c>
      <c r="I101" s="145" t="s">
        <v>88</v>
      </c>
      <c r="K101" s="145" t="s">
        <v>91</v>
      </c>
    </row>
    <row r="102" spans="2:12" x14ac:dyDescent="0.2">
      <c r="B102" s="145" t="s">
        <v>96</v>
      </c>
      <c r="C102" s="145" t="s">
        <v>57</v>
      </c>
      <c r="D102" s="145" t="s">
        <v>60</v>
      </c>
      <c r="E102" s="145" t="s">
        <v>62</v>
      </c>
      <c r="H102" s="145" t="s">
        <v>94</v>
      </c>
      <c r="I102" s="145" t="s">
        <v>89</v>
      </c>
      <c r="K102" s="145" t="s">
        <v>92</v>
      </c>
    </row>
    <row r="103" spans="2:12" x14ac:dyDescent="0.2">
      <c r="B103" s="145" t="s">
        <v>54</v>
      </c>
      <c r="D103" s="145" t="s">
        <v>61</v>
      </c>
      <c r="I103" s="145" t="s">
        <v>90</v>
      </c>
      <c r="K103" s="145" t="s">
        <v>93</v>
      </c>
    </row>
    <row r="104" spans="2:12" x14ac:dyDescent="0.2">
      <c r="B104" s="145" t="s">
        <v>55</v>
      </c>
      <c r="K104" s="145" t="s">
        <v>94</v>
      </c>
    </row>
    <row r="105" spans="2:12" x14ac:dyDescent="0.2">
      <c r="B105" s="145" t="s">
        <v>58</v>
      </c>
      <c r="D105" s="145" t="s">
        <v>97</v>
      </c>
    </row>
    <row r="107" spans="2:12" x14ac:dyDescent="0.2">
      <c r="B107" s="195">
        <v>11</v>
      </c>
      <c r="C107" s="195">
        <v>12</v>
      </c>
      <c r="D107" s="195">
        <v>13</v>
      </c>
      <c r="E107" s="195">
        <v>14</v>
      </c>
      <c r="F107" s="195">
        <v>15</v>
      </c>
      <c r="G107" s="195">
        <v>16</v>
      </c>
      <c r="H107" s="195">
        <v>17</v>
      </c>
      <c r="I107" s="195">
        <v>18</v>
      </c>
      <c r="J107" s="195">
        <v>19</v>
      </c>
      <c r="K107" s="195"/>
    </row>
    <row r="108" spans="2:12" ht="15" thickBot="1" x14ac:dyDescent="0.25">
      <c r="B108" s="278"/>
      <c r="C108" s="274"/>
      <c r="D108" s="274"/>
      <c r="E108" s="274"/>
      <c r="F108" s="274"/>
      <c r="G108" s="274"/>
      <c r="H108" s="274"/>
      <c r="I108" s="274"/>
      <c r="J108" s="274"/>
      <c r="K108" s="282"/>
      <c r="L108" s="276" t="s">
        <v>52</v>
      </c>
    </row>
    <row r="109" spans="2:12" ht="18" customHeight="1" thickBot="1" x14ac:dyDescent="0.25">
      <c r="B109" s="279"/>
      <c r="C109" s="306" t="s">
        <v>65</v>
      </c>
      <c r="D109" s="289"/>
      <c r="E109" s="289"/>
      <c r="F109" s="289"/>
      <c r="G109" s="289"/>
      <c r="H109" s="289"/>
      <c r="I109" s="289"/>
      <c r="J109" s="290"/>
      <c r="K109" s="283" t="s">
        <v>82</v>
      </c>
    </row>
    <row r="110" spans="2:12" ht="15" x14ac:dyDescent="0.25">
      <c r="C110" s="145" t="s">
        <v>67</v>
      </c>
      <c r="D110" s="145" t="s">
        <v>68</v>
      </c>
      <c r="E110" s="145" t="s">
        <v>70</v>
      </c>
      <c r="F110" s="145" t="s">
        <v>71</v>
      </c>
      <c r="G110" s="145" t="s">
        <v>74</v>
      </c>
      <c r="H110" s="145" t="s">
        <v>76</v>
      </c>
      <c r="I110" s="145" t="s">
        <v>70</v>
      </c>
      <c r="J110" s="280" t="s">
        <v>80</v>
      </c>
      <c r="K110" s="283" t="s">
        <v>83</v>
      </c>
    </row>
    <row r="111" spans="2:12" x14ac:dyDescent="0.2">
      <c r="C111" s="281" t="s">
        <v>66</v>
      </c>
      <c r="E111" s="145" t="s">
        <v>69</v>
      </c>
      <c r="F111" s="145" t="s">
        <v>73</v>
      </c>
      <c r="G111" s="145" t="s">
        <v>75</v>
      </c>
      <c r="H111" s="145" t="s">
        <v>77</v>
      </c>
      <c r="I111" s="145" t="s">
        <v>78</v>
      </c>
      <c r="J111" s="145" t="s">
        <v>81</v>
      </c>
      <c r="K111" s="283" t="s">
        <v>84</v>
      </c>
    </row>
    <row r="112" spans="2:12" x14ac:dyDescent="0.2">
      <c r="F112" s="145" t="s">
        <v>72</v>
      </c>
      <c r="I112" s="145" t="s">
        <v>79</v>
      </c>
      <c r="K112" s="283" t="s">
        <v>85</v>
      </c>
    </row>
    <row r="113" spans="11:11" x14ac:dyDescent="0.2">
      <c r="K113" s="283" t="s">
        <v>87</v>
      </c>
    </row>
    <row r="114" spans="11:11" x14ac:dyDescent="0.2">
      <c r="K114" s="283" t="s">
        <v>86</v>
      </c>
    </row>
  </sheetData>
  <mergeCells count="10">
    <mergeCell ref="B100:F100"/>
    <mergeCell ref="G100:K100"/>
    <mergeCell ref="C109:J109"/>
    <mergeCell ref="C35:G35"/>
    <mergeCell ref="C36:G36"/>
    <mergeCell ref="G8:K8"/>
    <mergeCell ref="M8:X8"/>
    <mergeCell ref="F3:F7"/>
    <mergeCell ref="B8:F8"/>
    <mergeCell ref="B33:G33"/>
  </mergeCells>
  <hyperlinks>
    <hyperlink ref="C35" r:id="rId1" display="https://stelefon.s-mxs.net/OEForm.aspx?tab=0&amp;ocl=O&amp;dn=AT01960663" xr:uid="{9C17A11A-21CE-45B5-8C8B-D07065EC98CD}"/>
  </hyperlinks>
  <pageMargins left="0.7" right="0.7" top="0.78740157499999996" bottom="0.78740157499999996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s IT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DI.</dc:creator>
  <cp:lastModifiedBy>Primetzhofer Alexandra 0663 EH</cp:lastModifiedBy>
  <dcterms:created xsi:type="dcterms:W3CDTF">2023-04-27T06:31:46Z</dcterms:created>
  <dcterms:modified xsi:type="dcterms:W3CDTF">2024-01-23T12:07:30Z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2023-04-27T06:31:47Z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6fac7265-5f58-45f3-b934-9831fe9dff38</vt:lpwstr>
  </property>
  <property fmtid="{D5CDD505-2E9C-101B-9397-08002B2CF9AE}" pid="8" name="MSIP_Label_38939b85-7e40-4a1d-91e1-0e84c3b219d7_ContentBits">
    <vt:lpwstr>0</vt:lpwstr>
  </property>
</Properties>
</file>