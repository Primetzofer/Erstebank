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DieseArbeitsmappe" defaultThemeVersion="124226"/>
  <bookViews>
    <workbookView xWindow="60" yWindow="150" windowWidth="18210" windowHeight="11385"/>
  </bookViews>
  <sheets>
    <sheet name="Tabelle1" sheetId="1" r:id="rId1"/>
  </sheets>
  <calcPr calcId="145621"/>
</workbook>
</file>

<file path=xl/calcChain.xml><?xml version="1.0" encoding="utf-8"?>
<calcChain xmlns="http://schemas.openxmlformats.org/spreadsheetml/2006/main">
  <c r="K27" i="1" l="1"/>
  <c r="H27" i="1"/>
  <c r="E27" i="1"/>
  <c r="B27" i="1"/>
  <c r="K19" i="1"/>
  <c r="K17" i="1"/>
  <c r="H19" i="1"/>
  <c r="H17" i="1"/>
  <c r="E19" i="1"/>
  <c r="E17" i="1"/>
  <c r="B19" i="1"/>
  <c r="B17" i="1"/>
  <c r="B9" i="1"/>
  <c r="K25" i="1" l="1"/>
  <c r="K15" i="1"/>
  <c r="E21" i="1" l="1"/>
  <c r="K21" i="1"/>
  <c r="K14" i="1"/>
  <c r="D11" i="1" l="1"/>
  <c r="G11" i="1" s="1"/>
  <c r="J11" i="1" s="1"/>
  <c r="B10" i="1"/>
  <c r="B11" i="1" s="1"/>
  <c r="E11" i="1" s="1"/>
  <c r="H11" i="1" s="1"/>
</calcChain>
</file>

<file path=xl/sharedStrings.xml><?xml version="1.0" encoding="utf-8"?>
<sst xmlns="http://schemas.openxmlformats.org/spreadsheetml/2006/main" count="44" uniqueCount="29">
  <si>
    <t>Dell Computer</t>
  </si>
  <si>
    <t>Kirchenbeitrag bis 200 € /Jahr</t>
  </si>
  <si>
    <t>https://www.bmf.gv.at/Steuern/TippsfrdieArbeitneh_7636/WasknnenSiebeimFina_7924/wasknnensie.htm</t>
  </si>
  <si>
    <t>Sonderausgaben</t>
  </si>
  <si>
    <t>Wohnraumschaffung</t>
  </si>
  <si>
    <t>60 € / Jahr</t>
  </si>
  <si>
    <t>Pauschale</t>
  </si>
  <si>
    <t>Werbungskosten</t>
  </si>
  <si>
    <t>40% Privatanteil</t>
  </si>
  <si>
    <t>Fachliteratur</t>
  </si>
  <si>
    <t>Bildungskosten</t>
  </si>
  <si>
    <t>Computer</t>
  </si>
  <si>
    <t>FRM</t>
  </si>
  <si>
    <r>
      <t xml:space="preserve">Zum Nachweis der beruflichen Jahresfahrleistung sollten Sie ein </t>
    </r>
    <r>
      <rPr>
        <b/>
        <sz val="6.9"/>
        <color rgb="FF333333"/>
        <rFont val="Arial"/>
        <family val="2"/>
      </rPr>
      <t>Fahrtenbuch</t>
    </r>
    <r>
      <rPr>
        <sz val="6.9"/>
        <color rgb="FF333333"/>
        <rFont val="Arial"/>
        <family val="2"/>
      </rPr>
      <t xml:space="preserve"> mit Datum, Kilometerstand, Ausgangs- und Zielpunkt, Zweck der einzelnen Fahrt und beruflich zurückgelegte Tageskilometer führen. Wenn ein Nachweis über die Verwendung des Kfz auch mit anderen Unterlagen möglich ist (zB Reisekostenabrechnung gegenüber dem Arbeitgeber), benötigen Sie kein Fahrtenbuch.</t>
    </r>
  </si>
  <si>
    <t>Diensreise</t>
  </si>
  <si>
    <t>Nächtigungspauschale</t>
  </si>
  <si>
    <t>Kilometergeld</t>
  </si>
  <si>
    <t>Tagesgeld</t>
  </si>
  <si>
    <t>A1</t>
  </si>
  <si>
    <t>79,1 km</t>
  </si>
  <si>
    <t>TOTAL</t>
  </si>
  <si>
    <t>Kirchenbeitrag</t>
  </si>
  <si>
    <t>http://m.bmf.gv.at/Steuern/TippsfrdieArbeitneh_7636/DieLohnsteuerberech_7923/dieLohnsteuerberechnung.htm</t>
  </si>
  <si>
    <t>Überstunden</t>
  </si>
  <si>
    <t>bis zu 200</t>
  </si>
  <si>
    <t>T-Mobile</t>
  </si>
  <si>
    <t>Black Swan</t>
  </si>
  <si>
    <t>Pairs Trading</t>
  </si>
  <si>
    <t>Credit Risk+ in Banking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</si>
</sst>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 #,##0.00_-;_-* &quot;-&quot;??_-;_-@_-"/>
    <numFmt numFmtId="164" formatCode="0.0"/>
    <numFmt numFmtId="165" formatCode="_-* #,##0_-;\-* #,##0_-;_-* &quot;-&quot;??_-;_-@_-"/>
  </numFmts>
  <fonts count="8" x14ac:knownFonts="1">
    <font>
      <sz val="10"/>
      <color theme="1"/>
      <name val="Arial"/>
      <family val="2"/>
    </font>
    <font>
      <sz val="10"/>
      <color theme="1"/>
      <name val="Arial"/>
      <family val="2"/>
    </font>
    <font>
      <b/>
      <sz val="10"/>
      <color theme="1"/>
      <name val="Arial"/>
      <family val="2"/>
    </font>
    <font>
      <sz val="10"/>
      <name val="Arial"/>
      <family val="2"/>
    </font>
    <font>
      <b/>
      <sz val="10"/>
      <color theme="4"/>
      <name val="Arial"/>
      <family val="2"/>
    </font>
    <font>
      <sz val="6.9"/>
      <color rgb="FF333333"/>
      <name val="Arial"/>
      <family val="2"/>
    </font>
    <font>
      <b/>
      <sz val="6.9"/>
      <color rgb="FF333333"/>
      <name val="Arial"/>
      <family val="2"/>
    </font>
    <font>
      <sz val="8"/>
      <color theme="1"/>
      <name val="Arial"/>
      <family val="2"/>
    </font>
  </fonts>
  <fills count="5">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6" tint="0.59999389629810485"/>
        <bgColor indexed="64"/>
      </patternFill>
    </fill>
  </fills>
  <borders count="4">
    <border>
      <left/>
      <right/>
      <top/>
      <bottom/>
      <diagonal/>
    </border>
    <border>
      <left/>
      <right/>
      <top/>
      <bottom style="double">
        <color indexed="64"/>
      </bottom>
      <diagonal/>
    </border>
    <border>
      <left/>
      <right style="thin">
        <color indexed="64"/>
      </right>
      <top/>
      <bottom/>
      <diagonal/>
    </border>
    <border>
      <left/>
      <right style="thin">
        <color indexed="64"/>
      </right>
      <top/>
      <bottom style="double">
        <color indexed="64"/>
      </bottom>
      <diagonal/>
    </border>
  </borders>
  <cellStyleXfs count="2">
    <xf numFmtId="0" fontId="0" fillId="0" borderId="0"/>
    <xf numFmtId="43" fontId="1" fillId="0" borderId="0" applyFont="0" applyFill="0" applyBorder="0" applyAlignment="0" applyProtection="0"/>
  </cellStyleXfs>
  <cellXfs count="30">
    <xf numFmtId="0" fontId="0" fillId="0" borderId="0" xfId="0"/>
    <xf numFmtId="14" fontId="0" fillId="0" borderId="0" xfId="0" applyNumberFormat="1"/>
    <xf numFmtId="0" fontId="2" fillId="0" borderId="0" xfId="0" applyFont="1"/>
    <xf numFmtId="0" fontId="4" fillId="0" borderId="0" xfId="0" applyFont="1"/>
    <xf numFmtId="164" fontId="0" fillId="0" borderId="0" xfId="0" applyNumberFormat="1"/>
    <xf numFmtId="1" fontId="0" fillId="0" borderId="0" xfId="0" applyNumberFormat="1"/>
    <xf numFmtId="0" fontId="0" fillId="0" borderId="1" xfId="0" applyBorder="1"/>
    <xf numFmtId="0" fontId="2" fillId="2" borderId="0" xfId="0" applyFont="1" applyFill="1" applyAlignment="1">
      <alignment horizontal="center"/>
    </xf>
    <xf numFmtId="0" fontId="0" fillId="3" borderId="0" xfId="0" applyFill="1"/>
    <xf numFmtId="0" fontId="0" fillId="0" borderId="0" xfId="0" applyBorder="1"/>
    <xf numFmtId="14" fontId="0" fillId="0" borderId="0" xfId="0" applyNumberFormat="1" applyBorder="1"/>
    <xf numFmtId="0" fontId="0" fillId="3" borderId="0" xfId="0" applyFill="1" applyBorder="1"/>
    <xf numFmtId="0" fontId="0" fillId="0" borderId="2" xfId="0" applyBorder="1"/>
    <xf numFmtId="0" fontId="0" fillId="0" borderId="3" xfId="0" applyBorder="1"/>
    <xf numFmtId="0" fontId="0" fillId="3" borderId="2" xfId="0" applyFill="1" applyBorder="1"/>
    <xf numFmtId="14" fontId="0" fillId="0" borderId="1" xfId="0" applyNumberFormat="1" applyBorder="1"/>
    <xf numFmtId="1" fontId="3" fillId="0" borderId="0" xfId="0" applyNumberFormat="1" applyFont="1"/>
    <xf numFmtId="0" fontId="5" fillId="0" borderId="0" xfId="0" applyFont="1" applyAlignment="1">
      <alignment vertical="center"/>
    </xf>
    <xf numFmtId="9" fontId="0" fillId="0" borderId="2" xfId="0" applyNumberFormat="1" applyBorder="1" applyAlignment="1">
      <alignment horizontal="left"/>
    </xf>
    <xf numFmtId="0" fontId="2" fillId="0" borderId="0" xfId="0" applyFont="1" applyAlignment="1">
      <alignment horizontal="right"/>
    </xf>
    <xf numFmtId="0" fontId="2" fillId="0" borderId="0" xfId="0" applyFont="1" applyBorder="1" applyAlignment="1">
      <alignment horizontal="right"/>
    </xf>
    <xf numFmtId="0" fontId="0" fillId="0" borderId="0" xfId="0" applyBorder="1" applyAlignment="1">
      <alignment horizontal="right"/>
    </xf>
    <xf numFmtId="0" fontId="2" fillId="0" borderId="0" xfId="0" applyFont="1" applyFill="1" applyBorder="1" applyAlignment="1">
      <alignment horizontal="right"/>
    </xf>
    <xf numFmtId="0" fontId="2" fillId="4" borderId="0" xfId="0" applyFont="1" applyFill="1" applyBorder="1" applyAlignment="1">
      <alignment horizontal="right"/>
    </xf>
    <xf numFmtId="164" fontId="0" fillId="0" borderId="0" xfId="0" applyNumberFormat="1" applyAlignment="1"/>
    <xf numFmtId="165" fontId="2" fillId="4" borderId="0" xfId="1" applyNumberFormat="1" applyFont="1" applyFill="1"/>
    <xf numFmtId="0" fontId="7" fillId="0" borderId="0" xfId="0" applyFont="1"/>
    <xf numFmtId="9" fontId="0" fillId="0" borderId="2" xfId="0" applyNumberFormat="1" applyBorder="1"/>
    <xf numFmtId="2" fontId="0" fillId="0" borderId="0" xfId="0" applyNumberFormat="1"/>
    <xf numFmtId="2" fontId="2" fillId="0" borderId="0" xfId="0" applyNumberFormat="1" applyFont="1"/>
  </cellXfs>
  <cellStyles count="2">
    <cellStyle name="Komma" xfId="1" builtinId="3"/>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2:O27"/>
  <sheetViews>
    <sheetView tabSelected="1" workbookViewId="0">
      <selection activeCell="E14" sqref="E14"/>
    </sheetView>
  </sheetViews>
  <sheetFormatPr baseColWidth="10" defaultRowHeight="12.75" x14ac:dyDescent="0.2"/>
  <cols>
    <col min="1" max="1" width="15" bestFit="1" customWidth="1"/>
    <col min="2" max="2" width="7" bestFit="1" customWidth="1"/>
    <col min="3" max="3" width="13.7109375" style="12" customWidth="1"/>
    <col min="4" max="4" width="14.28515625" style="9" customWidth="1"/>
    <col min="5" max="5" width="8.85546875" customWidth="1"/>
    <col min="6" max="6" width="12.42578125" style="12" customWidth="1"/>
    <col min="7" max="7" width="16" style="9" customWidth="1"/>
    <col min="8" max="8" width="7.7109375" customWidth="1"/>
    <col min="9" max="9" width="12.42578125" style="12" customWidth="1"/>
    <col min="10" max="10" width="14.7109375" style="9" bestFit="1" customWidth="1"/>
    <col min="11" max="11" width="8.7109375" customWidth="1"/>
    <col min="12" max="12" width="19.85546875" style="12" bestFit="1" customWidth="1"/>
    <col min="14" max="14" width="19.140625" customWidth="1"/>
    <col min="15" max="15" width="16.85546875" customWidth="1"/>
  </cols>
  <sheetData>
    <row r="2" spans="1:15" x14ac:dyDescent="0.2">
      <c r="B2" s="7">
        <v>2008</v>
      </c>
      <c r="E2" s="7">
        <v>2009</v>
      </c>
      <c r="H2" s="7">
        <v>2010</v>
      </c>
      <c r="K2" s="7">
        <v>2011</v>
      </c>
      <c r="N2" s="3" t="s">
        <v>3</v>
      </c>
      <c r="O2" t="s">
        <v>2</v>
      </c>
    </row>
    <row r="3" spans="1:15" x14ac:dyDescent="0.2">
      <c r="N3" t="s">
        <v>1</v>
      </c>
    </row>
    <row r="4" spans="1:15" x14ac:dyDescent="0.2">
      <c r="A4" s="1">
        <v>39472</v>
      </c>
      <c r="B4">
        <v>928.01</v>
      </c>
      <c r="C4" s="12" t="s">
        <v>0</v>
      </c>
      <c r="D4" s="10">
        <v>39822</v>
      </c>
      <c r="E4">
        <v>12.64</v>
      </c>
      <c r="F4" s="12" t="s">
        <v>26</v>
      </c>
      <c r="J4" s="10">
        <v>40802</v>
      </c>
      <c r="K4">
        <v>49.35</v>
      </c>
      <c r="L4" s="12" t="s">
        <v>27</v>
      </c>
      <c r="N4" t="s">
        <v>4</v>
      </c>
    </row>
    <row r="5" spans="1:15" ht="13.5" thickBot="1" x14ac:dyDescent="0.25">
      <c r="A5" s="6"/>
      <c r="B5" s="6"/>
      <c r="C5" s="13"/>
      <c r="D5" s="6"/>
      <c r="E5" s="6"/>
      <c r="F5" s="13"/>
      <c r="G5" s="6"/>
      <c r="H5" s="6"/>
      <c r="I5" s="13"/>
      <c r="J5" s="15">
        <v>40800</v>
      </c>
      <c r="K5" s="6">
        <v>60.83</v>
      </c>
      <c r="L5" s="13" t="s">
        <v>28</v>
      </c>
      <c r="N5" s="3" t="s">
        <v>5</v>
      </c>
      <c r="O5" s="3" t="s">
        <v>6</v>
      </c>
    </row>
    <row r="6" spans="1:15" ht="13.5" thickTop="1" x14ac:dyDescent="0.2"/>
    <row r="7" spans="1:15" x14ac:dyDescent="0.2">
      <c r="A7" s="8" t="s">
        <v>7</v>
      </c>
      <c r="B7" s="8"/>
      <c r="C7" s="14"/>
      <c r="D7" s="11"/>
      <c r="E7" s="8"/>
      <c r="F7" s="14"/>
      <c r="G7" s="11"/>
      <c r="H7" s="8"/>
      <c r="I7" s="14"/>
      <c r="J7" s="11"/>
      <c r="K7" s="8"/>
      <c r="L7" s="14"/>
      <c r="N7" s="3" t="s">
        <v>7</v>
      </c>
    </row>
    <row r="9" spans="1:15" x14ac:dyDescent="0.2">
      <c r="B9" s="5">
        <f>+B4/3</f>
        <v>309.33666666666664</v>
      </c>
    </row>
    <row r="10" spans="1:15" x14ac:dyDescent="0.2">
      <c r="A10" t="s">
        <v>8</v>
      </c>
      <c r="B10" s="5">
        <f>+B9*40%</f>
        <v>123.73466666666667</v>
      </c>
    </row>
    <row r="11" spans="1:15" x14ac:dyDescent="0.2">
      <c r="A11" s="19" t="s">
        <v>11</v>
      </c>
      <c r="B11" s="16">
        <f>+B9-B10</f>
        <v>185.60199999999998</v>
      </c>
      <c r="D11" s="19" t="str">
        <f>+A11</f>
        <v>Computer</v>
      </c>
      <c r="E11" s="16">
        <f>+B11</f>
        <v>185.60199999999998</v>
      </c>
      <c r="G11" s="19" t="str">
        <f>+D11</f>
        <v>Computer</v>
      </c>
      <c r="H11" s="16">
        <f>+E11</f>
        <v>185.60199999999998</v>
      </c>
      <c r="J11" s="19" t="str">
        <f>+G11</f>
        <v>Computer</v>
      </c>
      <c r="K11" s="16"/>
    </row>
    <row r="12" spans="1:15" x14ac:dyDescent="0.2">
      <c r="J12" s="19" t="s">
        <v>10</v>
      </c>
      <c r="K12">
        <v>851.74</v>
      </c>
      <c r="L12" s="12" t="s">
        <v>12</v>
      </c>
    </row>
    <row r="13" spans="1:15" x14ac:dyDescent="0.2">
      <c r="J13" s="20" t="s">
        <v>14</v>
      </c>
      <c r="K13">
        <v>15.9</v>
      </c>
      <c r="L13" s="12" t="s">
        <v>15</v>
      </c>
      <c r="M13" s="17" t="s">
        <v>13</v>
      </c>
    </row>
    <row r="14" spans="1:15" x14ac:dyDescent="0.2">
      <c r="J14" s="21" t="s">
        <v>19</v>
      </c>
      <c r="K14" s="4">
        <f>0.42*79.1*2</f>
        <v>66.443999999999988</v>
      </c>
      <c r="L14" s="12" t="s">
        <v>16</v>
      </c>
      <c r="M14" s="26" t="s">
        <v>22</v>
      </c>
    </row>
    <row r="15" spans="1:15" x14ac:dyDescent="0.2">
      <c r="J15" s="21"/>
      <c r="K15">
        <f>27.9*2</f>
        <v>55.8</v>
      </c>
      <c r="L15" s="12" t="s">
        <v>17</v>
      </c>
    </row>
    <row r="16" spans="1:15" x14ac:dyDescent="0.2">
      <c r="A16" s="20" t="s">
        <v>25</v>
      </c>
      <c r="B16">
        <v>595.55999999999995</v>
      </c>
      <c r="C16" s="27">
        <v>0.2</v>
      </c>
      <c r="D16" s="20" t="s">
        <v>25</v>
      </c>
      <c r="E16">
        <v>881.07</v>
      </c>
      <c r="F16" s="27">
        <v>0.2</v>
      </c>
      <c r="G16" s="20" t="s">
        <v>25</v>
      </c>
      <c r="H16" s="28">
        <v>909.68</v>
      </c>
      <c r="I16" s="27">
        <v>0.2</v>
      </c>
      <c r="J16" s="20" t="s">
        <v>25</v>
      </c>
      <c r="K16" s="24">
        <v>797.83</v>
      </c>
      <c r="L16" s="18">
        <v>0.2</v>
      </c>
    </row>
    <row r="17" spans="1:12" x14ac:dyDescent="0.2">
      <c r="A17" s="20"/>
      <c r="B17" s="2">
        <f>+B16*C16</f>
        <v>119.11199999999999</v>
      </c>
      <c r="C17" s="27"/>
      <c r="D17" s="20"/>
      <c r="E17" s="29">
        <f>+E16*F16</f>
        <v>176.21400000000003</v>
      </c>
      <c r="F17" s="27"/>
      <c r="G17" s="20"/>
      <c r="H17" s="29">
        <f>+H16*I16</f>
        <v>181.93600000000001</v>
      </c>
      <c r="I17" s="27"/>
      <c r="J17" s="20"/>
      <c r="K17" s="29">
        <f>+K16*L16</f>
        <v>159.56600000000003</v>
      </c>
      <c r="L17" s="18"/>
    </row>
    <row r="18" spans="1:12" x14ac:dyDescent="0.2">
      <c r="A18" s="22" t="s">
        <v>18</v>
      </c>
      <c r="B18">
        <v>562.27</v>
      </c>
      <c r="C18" s="27">
        <v>0.2</v>
      </c>
      <c r="D18" s="22" t="s">
        <v>18</v>
      </c>
      <c r="E18">
        <v>274.91000000000003</v>
      </c>
      <c r="F18" s="27">
        <v>0.2</v>
      </c>
      <c r="G18" s="22" t="s">
        <v>18</v>
      </c>
      <c r="H18" s="28">
        <v>771.15</v>
      </c>
      <c r="I18" s="27">
        <v>0.2</v>
      </c>
      <c r="J18" s="22" t="s">
        <v>18</v>
      </c>
      <c r="K18" s="24">
        <v>246.66</v>
      </c>
      <c r="L18" s="18">
        <v>0.2</v>
      </c>
    </row>
    <row r="19" spans="1:12" x14ac:dyDescent="0.2">
      <c r="A19" s="22"/>
      <c r="B19" s="2">
        <f>+B18*C18</f>
        <v>112.45400000000001</v>
      </c>
      <c r="C19" s="27"/>
      <c r="D19" s="22"/>
      <c r="E19" s="29">
        <f>+E18*F18</f>
        <v>54.982000000000006</v>
      </c>
      <c r="F19" s="27"/>
      <c r="G19" s="22"/>
      <c r="H19" s="29">
        <f>+H18*I18</f>
        <v>154.23000000000002</v>
      </c>
      <c r="I19" s="27"/>
      <c r="J19" s="22"/>
      <c r="K19" s="29">
        <f>+K18*L18</f>
        <v>49.332000000000001</v>
      </c>
      <c r="L19" s="18"/>
    </row>
    <row r="20" spans="1:12" x14ac:dyDescent="0.2">
      <c r="A20" s="22"/>
      <c r="B20" s="2"/>
      <c r="C20" s="27"/>
      <c r="D20" s="22"/>
      <c r="E20" s="2"/>
      <c r="F20" s="27"/>
      <c r="G20" s="22"/>
      <c r="I20" s="27"/>
      <c r="J20" s="22"/>
      <c r="K20" s="24"/>
      <c r="L20" s="18"/>
    </row>
    <row r="21" spans="1:12" x14ac:dyDescent="0.2">
      <c r="D21" s="20" t="s">
        <v>9</v>
      </c>
      <c r="E21">
        <f>+E4</f>
        <v>12.64</v>
      </c>
      <c r="G21" s="20" t="s">
        <v>9</v>
      </c>
      <c r="J21" s="20" t="s">
        <v>9</v>
      </c>
      <c r="K21">
        <f>+K4+K5</f>
        <v>110.18</v>
      </c>
    </row>
    <row r="23" spans="1:12" x14ac:dyDescent="0.2">
      <c r="A23" s="22" t="s">
        <v>21</v>
      </c>
      <c r="D23" s="22" t="s">
        <v>21</v>
      </c>
      <c r="E23">
        <v>134.36000000000001</v>
      </c>
      <c r="G23" s="22" t="s">
        <v>21</v>
      </c>
      <c r="J23" s="22" t="s">
        <v>21</v>
      </c>
      <c r="K23">
        <v>100</v>
      </c>
      <c r="L23" s="12" t="s">
        <v>24</v>
      </c>
    </row>
    <row r="25" spans="1:12" x14ac:dyDescent="0.2">
      <c r="J25" s="22" t="s">
        <v>23</v>
      </c>
      <c r="K25">
        <f>86*12</f>
        <v>1032</v>
      </c>
    </row>
    <row r="27" spans="1:12" x14ac:dyDescent="0.2">
      <c r="A27" s="23" t="s">
        <v>20</v>
      </c>
      <c r="B27" s="25">
        <f>SUM(B11:B25)-B16-B18</f>
        <v>417.16799999999989</v>
      </c>
      <c r="D27" s="23" t="s">
        <v>20</v>
      </c>
      <c r="E27" s="25">
        <f>SUM(E11:E25)-E16-E18</f>
        <v>563.79800000000023</v>
      </c>
      <c r="G27" s="23" t="s">
        <v>20</v>
      </c>
      <c r="H27" s="25">
        <f>SUM(H11:H25)-H16-H18</f>
        <v>521.76800000000014</v>
      </c>
      <c r="J27" s="23" t="s">
        <v>20</v>
      </c>
      <c r="K27" s="25">
        <f>SUM(K11:K25)-K16-K18</f>
        <v>2440.962</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Tabelle1</vt:lpstr>
    </vt:vector>
  </TitlesOfParts>
  <Company>Erste Group Bank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Primetzhofer Alexandra DI</dc:creator>
  <cp:lastModifiedBy>Primetzhofer Alexandra DI</cp:lastModifiedBy>
  <dcterms:created xsi:type="dcterms:W3CDTF">2012-02-06T13:41:10Z</dcterms:created>
  <dcterms:modified xsi:type="dcterms:W3CDTF">2012-03-14T12:34:34Z</dcterms:modified>
</cp:coreProperties>
</file>