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https://erstegroup-my.sharepoint.com/personal/a960hfc_s-mxs_net/Documents/OD4BMigration/Finanzamt/"/>
    </mc:Choice>
  </mc:AlternateContent>
  <xr:revisionPtr revIDLastSave="0" documentId="8_{0A51A5C6-6936-4E79-BE12-CD38750B58DE}" xr6:coauthVersionLast="47" xr6:coauthVersionMax="47" xr10:uidLastSave="{00000000-0000-0000-0000-000000000000}"/>
  <bookViews>
    <workbookView xWindow="16095" yWindow="10920" windowWidth="35625" windowHeight="18870" xr2:uid="{00000000-000D-0000-FFFF-FFFF00000000}"/>
  </bookViews>
  <sheets>
    <sheet name="Worksheet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2" l="1"/>
  <c r="L24" i="2"/>
  <c r="K9" i="2"/>
  <c r="K10" i="2" s="1"/>
  <c r="K11" i="2" s="1"/>
  <c r="K12" i="2" s="1"/>
  <c r="K13" i="2" s="1"/>
  <c r="K14" i="2" s="1"/>
  <c r="K15" i="2" s="1"/>
  <c r="K16" i="2" s="1"/>
  <c r="K17" i="2" s="1"/>
  <c r="K18" i="2" s="1"/>
  <c r="K19" i="2" s="1"/>
  <c r="K20" i="2" s="1"/>
  <c r="K21" i="2" s="1"/>
  <c r="K22" i="2" s="1"/>
  <c r="K23" i="2" s="1"/>
  <c r="K24" i="2" s="1"/>
  <c r="K8" i="2"/>
  <c r="F23" i="2"/>
  <c r="G23" i="2" s="1"/>
  <c r="C23" i="2"/>
  <c r="D23" i="2" s="1"/>
  <c r="F22" i="2"/>
  <c r="G22" i="2" s="1"/>
  <c r="C22" i="2"/>
  <c r="D22" i="2" s="1"/>
  <c r="F21" i="2"/>
  <c r="G21" i="2" s="1"/>
  <c r="C21" i="2"/>
  <c r="D21" i="2" s="1"/>
  <c r="F20" i="2"/>
  <c r="G20" i="2" s="1"/>
  <c r="C20" i="2"/>
  <c r="D20" i="2" s="1"/>
  <c r="F19" i="2"/>
  <c r="G19" i="2" s="1"/>
  <c r="C19" i="2"/>
  <c r="D19" i="2" s="1"/>
  <c r="F18" i="2"/>
  <c r="G18" i="2" s="1"/>
  <c r="C18" i="2"/>
  <c r="D18" i="2" s="1"/>
  <c r="F17" i="2"/>
  <c r="G17" i="2" s="1"/>
  <c r="C17" i="2"/>
  <c r="D17" i="2" s="1"/>
  <c r="F16" i="2"/>
  <c r="G16" i="2" s="1"/>
  <c r="C16" i="2"/>
  <c r="D16" i="2" s="1"/>
  <c r="F15" i="2"/>
  <c r="G15" i="2" s="1"/>
  <c r="C15" i="2"/>
  <c r="D15" i="2" s="1"/>
  <c r="F14" i="2"/>
  <c r="G14" i="2" s="1"/>
  <c r="C14" i="2"/>
  <c r="D14" i="2" s="1"/>
  <c r="F13" i="2"/>
  <c r="G13" i="2" s="1"/>
  <c r="C13" i="2"/>
  <c r="D13" i="2" s="1"/>
  <c r="F12" i="2"/>
  <c r="G12" i="2" s="1"/>
  <c r="D12" i="2"/>
  <c r="C12" i="2"/>
  <c r="F11" i="2"/>
  <c r="G11" i="2" s="1"/>
  <c r="C11" i="2"/>
  <c r="D11" i="2" s="1"/>
  <c r="F10" i="2"/>
  <c r="G10" i="2" s="1"/>
  <c r="C10" i="2"/>
  <c r="D10" i="2" s="1"/>
  <c r="F9" i="2"/>
  <c r="G9" i="2" s="1"/>
  <c r="C9" i="2"/>
  <c r="D9" i="2" s="1"/>
  <c r="F8" i="2"/>
  <c r="G8" i="2" s="1"/>
  <c r="C8" i="2"/>
  <c r="D8" i="2" s="1"/>
  <c r="C7" i="2"/>
  <c r="D7" i="2" s="1"/>
  <c r="A7" i="2"/>
  <c r="E7" i="2"/>
  <c r="F7" i="2" l="1"/>
  <c r="G7" i="2" s="1"/>
</calcChain>
</file>

<file path=xl/sharedStrings.xml><?xml version="1.0" encoding="utf-8"?>
<sst xmlns="http://schemas.openxmlformats.org/spreadsheetml/2006/main" count="16" uniqueCount="12">
  <si>
    <t>Security</t>
  </si>
  <si>
    <t xml:space="preserve">CPTFEMU  Index                                                  </t>
  </si>
  <si>
    <t>Start Date</t>
  </si>
  <si>
    <t>End Date</t>
  </si>
  <si>
    <t>Period</t>
  </si>
  <si>
    <t>Y</t>
  </si>
  <si>
    <t>Date</t>
  </si>
  <si>
    <t>PX_LAST</t>
  </si>
  <si>
    <t>Change</t>
  </si>
  <si>
    <t>% Change</t>
  </si>
  <si>
    <t>PX_MID</t>
  </si>
  <si>
    <t>Rebase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</si>
</sst>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82" formatCode="dd\.mm\.yyyy"/>
  </numFmts>
  <fonts count="2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color theme="1" tint="4.9989318521683403E-2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10" borderId="0" applyNumberFormat="0" applyBorder="0" applyAlignment="0" applyProtection="0"/>
    <xf numFmtId="0" fontId="2" fillId="14" borderId="0" applyNumberFormat="0" applyBorder="0" applyAlignment="0" applyProtection="0"/>
    <xf numFmtId="0" fontId="2" fillId="18" borderId="0" applyNumberFormat="0" applyBorder="0" applyAlignment="0" applyProtection="0"/>
    <xf numFmtId="0" fontId="2" fillId="22" borderId="0" applyNumberFormat="0" applyBorder="0" applyAlignment="0" applyProtection="0"/>
    <xf numFmtId="0" fontId="2" fillId="26" borderId="0" applyNumberFormat="0" applyBorder="0" applyAlignment="0" applyProtection="0"/>
    <xf numFmtId="0" fontId="2" fillId="30" borderId="0" applyNumberFormat="0" applyBorder="0" applyAlignment="0" applyProtection="0"/>
    <xf numFmtId="0" fontId="2" fillId="11" borderId="0" applyNumberFormat="0" applyBorder="0" applyAlignment="0" applyProtection="0"/>
    <xf numFmtId="0" fontId="2" fillId="15" borderId="0" applyNumberFormat="0" applyBorder="0" applyAlignment="0" applyProtection="0"/>
    <xf numFmtId="0" fontId="2" fillId="19" borderId="0" applyNumberFormat="0" applyBorder="0" applyAlignment="0" applyProtection="0"/>
    <xf numFmtId="0" fontId="2" fillId="23" borderId="0" applyNumberFormat="0" applyBorder="0" applyAlignment="0" applyProtection="0"/>
    <xf numFmtId="0" fontId="2" fillId="27" borderId="0" applyNumberFormat="0" applyBorder="0" applyAlignment="0" applyProtection="0"/>
    <xf numFmtId="0" fontId="2" fillId="31" borderId="0" applyNumberFormat="0" applyBorder="0" applyAlignment="0" applyProtection="0"/>
    <xf numFmtId="0" fontId="18" fillId="12" borderId="0" applyNumberFormat="0" applyBorder="0" applyAlignment="0" applyProtection="0"/>
    <xf numFmtId="0" fontId="18" fillId="16" borderId="0" applyNumberFormat="0" applyBorder="0" applyAlignment="0" applyProtection="0"/>
    <xf numFmtId="0" fontId="18" fillId="20" borderId="0" applyNumberFormat="0" applyBorder="0" applyAlignment="0" applyProtection="0"/>
    <xf numFmtId="0" fontId="18" fillId="24" borderId="0" applyNumberFormat="0" applyBorder="0" applyAlignment="0" applyProtection="0"/>
    <xf numFmtId="0" fontId="18" fillId="28" borderId="0" applyNumberFormat="0" applyBorder="0" applyAlignment="0" applyProtection="0"/>
    <xf numFmtId="0" fontId="18" fillId="32" borderId="0" applyNumberFormat="0" applyBorder="0" applyAlignment="0" applyProtection="0"/>
    <xf numFmtId="0" fontId="18" fillId="9" borderId="0" applyNumberFormat="0" applyBorder="0" applyAlignment="0" applyProtection="0"/>
    <xf numFmtId="0" fontId="18" fillId="13" borderId="0" applyNumberFormat="0" applyBorder="0" applyAlignment="0" applyProtection="0"/>
    <xf numFmtId="0" fontId="18" fillId="17" borderId="0" applyNumberFormat="0" applyBorder="0" applyAlignment="0" applyProtection="0"/>
    <xf numFmtId="0" fontId="18" fillId="21" borderId="0" applyNumberFormat="0" applyBorder="0" applyAlignment="0" applyProtection="0"/>
    <xf numFmtId="0" fontId="18" fillId="25" borderId="0" applyNumberFormat="0" applyBorder="0" applyAlignment="0" applyProtection="0"/>
    <xf numFmtId="0" fontId="18" fillId="29" borderId="0" applyNumberFormat="0" applyBorder="0" applyAlignment="0" applyProtection="0"/>
    <xf numFmtId="0" fontId="8" fillId="3" borderId="0" applyNumberFormat="0" applyBorder="0" applyAlignment="0" applyProtection="0"/>
    <xf numFmtId="0" fontId="12" fillId="6" borderId="4" applyNumberFormat="0" applyAlignment="0" applyProtection="0"/>
    <xf numFmtId="0" fontId="14" fillId="7" borderId="7" applyNumberFormat="0" applyAlignment="0" applyProtection="0"/>
    <xf numFmtId="0" fontId="1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10" fillId="5" borderId="4" applyNumberFormat="0" applyAlignment="0" applyProtection="0"/>
    <xf numFmtId="0" fontId="13" fillId="0" borderId="6" applyNumberFormat="0" applyFill="0" applyAlignment="0" applyProtection="0"/>
    <xf numFmtId="0" fontId="9" fillId="4" borderId="0" applyNumberFormat="0" applyBorder="0" applyAlignment="0" applyProtection="0"/>
    <xf numFmtId="0" fontId="2" fillId="8" borderId="8" applyNumberFormat="0" applyFont="0" applyAlignment="0" applyProtection="0"/>
    <xf numFmtId="0" fontId="11" fillId="6" borderId="5" applyNumberFormat="0" applyAlignment="0" applyProtection="0"/>
    <xf numFmtId="0" fontId="3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5" fillId="0" borderId="0" applyNumberFormat="0" applyFill="0" applyBorder="0" applyAlignment="0" applyProtection="0"/>
    <xf numFmtId="22" fontId="1" fillId="0" borderId="0"/>
  </cellStyleXfs>
  <cellXfs count="8">
    <xf numFmtId="0" fontId="0" fillId="0" borderId="0" xfId="0"/>
    <xf numFmtId="182" fontId="19" fillId="33" borderId="0" xfId="0" applyNumberFormat="1" applyFont="1" applyFill="1"/>
    <xf numFmtId="182" fontId="17" fillId="33" borderId="0" xfId="0" applyNumberFormat="1" applyFont="1" applyFill="1"/>
    <xf numFmtId="10" fontId="19" fillId="33" borderId="0" xfId="24" applyNumberFormat="1" applyFont="1" applyFill="1"/>
    <xf numFmtId="0" fontId="20" fillId="33" borderId="0" xfId="0" applyFont="1" applyFill="1"/>
    <xf numFmtId="2" fontId="0" fillId="0" borderId="0" xfId="0" applyNumberFormat="1"/>
    <xf numFmtId="182" fontId="0" fillId="0" borderId="0" xfId="0" applyNumberFormat="1"/>
    <xf numFmtId="22" fontId="1" fillId="0" borderId="0" xfId="42" applyNumberFormat="1" applyFont="1" applyFill="1" applyBorder="1" applyAlignment="1" applyProtection="1"/>
  </cellXfs>
  <cellStyles count="43">
    <cellStyle name="20 % - Akzent1" xfId="1" builtinId="30" customBuiltin="1"/>
    <cellStyle name="20 % - Akzent2" xfId="2" builtinId="34" customBuiltin="1"/>
    <cellStyle name="20 % - Akzent3" xfId="3" builtinId="38" customBuiltin="1"/>
    <cellStyle name="20 % - Akzent4" xfId="4" builtinId="42" customBuiltin="1"/>
    <cellStyle name="20 % - Akzent5" xfId="5" builtinId="46" customBuiltin="1"/>
    <cellStyle name="20 % - Akzent6" xfId="6" builtinId="50" customBuiltin="1"/>
    <cellStyle name="40 % - Akzent1" xfId="7" builtinId="31" customBuiltin="1"/>
    <cellStyle name="40 % - Akzent2" xfId="8" builtinId="35" customBuiltin="1"/>
    <cellStyle name="40 % - Akzent3" xfId="9" builtinId="39" customBuiltin="1"/>
    <cellStyle name="40 % - Akzent4" xfId="10" builtinId="43" customBuiltin="1"/>
    <cellStyle name="40 % - Akzent5" xfId="11" builtinId="47" customBuiltin="1"/>
    <cellStyle name="40 % - Akzent6" xfId="12" builtinId="51" customBuiltin="1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Akzent1" xfId="19" builtinId="29" customBuiltin="1"/>
    <cellStyle name="Akzent2" xfId="20" builtinId="33" customBuiltin="1"/>
    <cellStyle name="Akzent3" xfId="21" builtinId="37" customBuiltin="1"/>
    <cellStyle name="Akzent4" xfId="22" builtinId="41" customBuiltin="1"/>
    <cellStyle name="Akzent5" xfId="23" builtinId="45" customBuiltin="1"/>
    <cellStyle name="Akzent6" xfId="24" builtinId="49" customBuiltin="1"/>
    <cellStyle name="Ausgabe" xfId="38" builtinId="21" customBuiltin="1"/>
    <cellStyle name="Berechnung" xfId="26" builtinId="22" customBuiltin="1"/>
    <cellStyle name="blp_datetime" xfId="42" xr:uid="{00000000-0005-0000-0000-000019000000}"/>
    <cellStyle name="Eingabe" xfId="34" builtinId="20" customBuiltin="1"/>
    <cellStyle name="Ergebnis" xfId="40" builtinId="25" customBuiltin="1"/>
    <cellStyle name="Erklärender Text" xfId="28" builtinId="53" customBuiltin="1"/>
    <cellStyle name="Gut" xfId="29" builtinId="26" customBuiltin="1"/>
    <cellStyle name="Neutral" xfId="36" builtinId="28" customBuiltin="1"/>
    <cellStyle name="Notiz" xfId="37" builtinId="10" customBuiltin="1"/>
    <cellStyle name="Schlecht" xfId="25" builtinId="27" customBuiltin="1"/>
    <cellStyle name="Standard" xfId="0" builtinId="0"/>
    <cellStyle name="Überschrift" xfId="39" builtinId="15" customBuiltin="1"/>
    <cellStyle name="Überschrift 1" xfId="30" builtinId="16" customBuiltin="1"/>
    <cellStyle name="Überschrift 2" xfId="31" builtinId="17" customBuiltin="1"/>
    <cellStyle name="Überschrift 3" xfId="32" builtinId="18" customBuiltin="1"/>
    <cellStyle name="Überschrift 4" xfId="33" builtinId="19" customBuiltin="1"/>
    <cellStyle name="Verknüpfte Zelle" xfId="35" builtinId="24" customBuiltin="1"/>
    <cellStyle name="Warnender Text" xfId="41" builtinId="11" customBuiltin="1"/>
    <cellStyle name="Zelle überprüfen" xfId="27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N/A</v>
        <stp/>
        <stp>BDH|12370016741339968632</stp>
        <tr r="A7" s="2"/>
      </tp>
    </main>
    <main first="bofaddin.rtdserver">
      <tp t="s">
        <v>#N/A N/A</v>
        <stp/>
        <stp>BDH|1076299272111062243</stp>
        <tr r="E7" s="2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L24"/>
  <sheetViews>
    <sheetView tabSelected="1" workbookViewId="0">
      <selection activeCell="I4" sqref="I4:L24"/>
    </sheetView>
  </sheetViews>
  <sheetFormatPr baseColWidth="10" defaultRowHeight="17.25" x14ac:dyDescent="0.25"/>
  <cols>
    <col min="1" max="1" width="17" customWidth="1"/>
    <col min="2" max="2" width="16" bestFit="1" customWidth="1"/>
    <col min="3" max="7" width="9.140625" bestFit="1" customWidth="1"/>
    <col min="9" max="9" width="12.5703125" customWidth="1"/>
    <col min="10" max="10" width="11" customWidth="1"/>
  </cols>
  <sheetData>
    <row r="1" spans="1:12" ht="15" x14ac:dyDescent="0.25">
      <c r="A1" t="s">
        <v>0</v>
      </c>
      <c r="B1" t="s">
        <v>1</v>
      </c>
    </row>
    <row r="2" spans="1:12" ht="15" x14ac:dyDescent="0.25">
      <c r="A2" t="s">
        <v>2</v>
      </c>
      <c r="B2" s="7">
        <v>38716</v>
      </c>
    </row>
    <row r="3" spans="1:12" ht="15" x14ac:dyDescent="0.25">
      <c r="A3" t="s">
        <v>3</v>
      </c>
      <c r="B3" s="7">
        <v>44925</v>
      </c>
    </row>
    <row r="4" spans="1:12" ht="15" x14ac:dyDescent="0.25">
      <c r="A4" t="s">
        <v>4</v>
      </c>
      <c r="B4" t="s">
        <v>5</v>
      </c>
    </row>
    <row r="5" spans="1:12" ht="15" x14ac:dyDescent="0.25">
      <c r="I5" s="4" t="str">
        <f>+B1</f>
        <v xml:space="preserve">CPTFEMU  Index                                                  </v>
      </c>
      <c r="J5" s="4"/>
      <c r="K5" s="4"/>
      <c r="L5" s="4"/>
    </row>
    <row r="6" spans="1:12" ht="15" x14ac:dyDescent="0.25">
      <c r="A6" t="s">
        <v>6</v>
      </c>
      <c r="B6" t="s">
        <v>7</v>
      </c>
      <c r="C6" t="s">
        <v>8</v>
      </c>
      <c r="D6" t="s">
        <v>9</v>
      </c>
      <c r="E6" t="s">
        <v>10</v>
      </c>
      <c r="F6" t="s">
        <v>8</v>
      </c>
      <c r="G6" t="s">
        <v>9</v>
      </c>
      <c r="I6" t="s">
        <v>6</v>
      </c>
      <c r="J6" t="s">
        <v>7</v>
      </c>
      <c r="K6" t="s">
        <v>11</v>
      </c>
    </row>
    <row r="7" spans="1:12" ht="15" x14ac:dyDescent="0.25">
      <c r="A7" s="6">
        <f>_xll.BDH(B1,B6,B2,B3,"Dir=V","Dts=S","Sort=D","Quote=C","QtTyp=P","Days=T",CONCATENATE("Per=c",B4),"DtFmt=D","UseDPDF=Y","cols=2;rows=18")</f>
        <v>44925</v>
      </c>
      <c r="B7">
        <v>120.7</v>
      </c>
      <c r="C7">
        <f t="shared" ref="C7:C23" si="0">IF(AND(ISNUMBER(B7),ISNUMBER(B8)), (B7 - B8), "")</f>
        <v>10.730000000000004</v>
      </c>
      <c r="D7">
        <f t="shared" ref="D7:D23" si="1">IF(AND(ISNUMBER(C7),ISNUMBER(B8)), (100*C7/ABS(B8)), "")</f>
        <v>9.7572065108666042</v>
      </c>
      <c r="E7">
        <f>_xll.BDH(B1,E6,B2,B3,"Dir=V","Sort=D","Quote=C","QtTyp=P","Days=T","Dates=H",CONCATENATE("Per=c",B4),"DtFmt=D","UseDPDF=Y","cols=1;rows=18")</f>
        <v>120.7</v>
      </c>
      <c r="F7">
        <f t="shared" ref="F7:F23" si="2">IF(AND(ISNUMBER(E7),ISNUMBER(E8)), (E7 - E8), "")</f>
        <v>10.730000000000004</v>
      </c>
      <c r="G7">
        <f t="shared" ref="G7:G23" si="3">IF(AND(ISNUMBER(F7),ISNUMBER(E8)), (100*F7/ABS(E8)), "")</f>
        <v>9.7572065108666042</v>
      </c>
      <c r="I7" s="2">
        <v>38716</v>
      </c>
      <c r="J7">
        <v>86.393448000000006</v>
      </c>
      <c r="K7" s="5">
        <v>100</v>
      </c>
    </row>
    <row r="8" spans="1:12" ht="15" x14ac:dyDescent="0.25">
      <c r="A8" s="6">
        <v>44561</v>
      </c>
      <c r="B8">
        <v>109.97</v>
      </c>
      <c r="C8">
        <f t="shared" si="0"/>
        <v>5.269999999999996</v>
      </c>
      <c r="D8">
        <f t="shared" si="1"/>
        <v>5.0334288443170916</v>
      </c>
      <c r="E8">
        <v>109.97</v>
      </c>
      <c r="F8">
        <f t="shared" si="2"/>
        <v>5.269999999999996</v>
      </c>
      <c r="G8">
        <f t="shared" si="3"/>
        <v>5.0334288443170916</v>
      </c>
      <c r="I8" s="6">
        <v>39080</v>
      </c>
      <c r="J8">
        <v>87.982882000000004</v>
      </c>
      <c r="K8" s="5">
        <f>+J8/$J$7+K7</f>
        <v>101.01839762200485</v>
      </c>
    </row>
    <row r="9" spans="1:12" ht="15" x14ac:dyDescent="0.25">
      <c r="A9" s="6">
        <v>44196</v>
      </c>
      <c r="B9">
        <v>104.7</v>
      </c>
      <c r="C9">
        <f t="shared" si="0"/>
        <v>-0.42999999999999261</v>
      </c>
      <c r="D9">
        <f t="shared" si="1"/>
        <v>-0.40901740701987316</v>
      </c>
      <c r="E9">
        <v>104.7</v>
      </c>
      <c r="F9">
        <f t="shared" si="2"/>
        <v>-0.42999999999999261</v>
      </c>
      <c r="G9">
        <f t="shared" si="3"/>
        <v>-0.40901740701987316</v>
      </c>
      <c r="I9" s="6">
        <v>39447</v>
      </c>
      <c r="J9">
        <v>90.683211</v>
      </c>
      <c r="K9" s="5">
        <f t="shared" ref="K9:K24" si="4">+J9/$J$7+K8</f>
        <v>102.06805142214026</v>
      </c>
    </row>
    <row r="10" spans="1:12" ht="15" x14ac:dyDescent="0.25">
      <c r="A10" s="6">
        <v>43830</v>
      </c>
      <c r="B10">
        <v>105.13</v>
      </c>
      <c r="C10">
        <f t="shared" si="0"/>
        <v>1.0300000000000011</v>
      </c>
      <c r="D10">
        <f t="shared" si="1"/>
        <v>0.98943323727185517</v>
      </c>
      <c r="E10">
        <v>105.13</v>
      </c>
      <c r="F10">
        <f t="shared" si="2"/>
        <v>1.0300000000000011</v>
      </c>
      <c r="G10">
        <f t="shared" si="3"/>
        <v>0.98943323727185517</v>
      </c>
      <c r="I10" s="6">
        <v>39813</v>
      </c>
      <c r="J10">
        <v>92.076103000000003</v>
      </c>
      <c r="K10" s="5">
        <f t="shared" si="4"/>
        <v>103.13382788009572</v>
      </c>
    </row>
    <row r="11" spans="1:12" ht="15" x14ac:dyDescent="0.25">
      <c r="A11" s="6">
        <v>43465</v>
      </c>
      <c r="B11">
        <v>104.1</v>
      </c>
      <c r="C11">
        <f t="shared" si="0"/>
        <v>1.5300000000000011</v>
      </c>
      <c r="D11">
        <f t="shared" si="1"/>
        <v>1.4916642293068161</v>
      </c>
      <c r="E11">
        <v>104.1</v>
      </c>
      <c r="F11">
        <f t="shared" si="2"/>
        <v>1.5300000000000011</v>
      </c>
      <c r="G11">
        <f t="shared" si="3"/>
        <v>1.4916642293068161</v>
      </c>
      <c r="I11" s="6">
        <v>40178</v>
      </c>
      <c r="J11">
        <v>92.811002000000002</v>
      </c>
      <c r="K11" s="5">
        <f t="shared" si="4"/>
        <v>104.20811075858438</v>
      </c>
    </row>
    <row r="12" spans="1:12" ht="15" x14ac:dyDescent="0.25">
      <c r="A12" s="6">
        <v>43098</v>
      </c>
      <c r="B12">
        <v>102.57</v>
      </c>
      <c r="C12">
        <f t="shared" si="0"/>
        <v>1.3099999999999881</v>
      </c>
      <c r="D12">
        <f t="shared" si="1"/>
        <v>1.2936993877147818</v>
      </c>
      <c r="E12">
        <v>102.57</v>
      </c>
      <c r="F12">
        <f t="shared" si="2"/>
        <v>1.3099999999999881</v>
      </c>
      <c r="G12">
        <f t="shared" si="3"/>
        <v>1.2936993877147818</v>
      </c>
      <c r="I12" s="6">
        <v>40543</v>
      </c>
      <c r="J12">
        <v>94.793522999999993</v>
      </c>
      <c r="K12" s="5">
        <f t="shared" si="4"/>
        <v>105.30534122217232</v>
      </c>
    </row>
    <row r="13" spans="1:12" ht="15" x14ac:dyDescent="0.25">
      <c r="A13" s="6">
        <v>42734</v>
      </c>
      <c r="B13">
        <v>101.26</v>
      </c>
      <c r="C13">
        <f t="shared" si="0"/>
        <v>1.1000000000000085</v>
      </c>
      <c r="D13">
        <f t="shared" si="1"/>
        <v>1.0982428115016061</v>
      </c>
      <c r="E13">
        <v>101.26</v>
      </c>
      <c r="F13">
        <f t="shared" si="2"/>
        <v>1.1000000000000085</v>
      </c>
      <c r="G13">
        <f t="shared" si="3"/>
        <v>1.0982428115016061</v>
      </c>
      <c r="I13" s="6">
        <v>40907</v>
      </c>
      <c r="J13">
        <v>97.340035999999998</v>
      </c>
      <c r="K13" s="5">
        <f t="shared" si="4"/>
        <v>106.43204745109838</v>
      </c>
    </row>
    <row r="14" spans="1:12" ht="15" x14ac:dyDescent="0.25">
      <c r="A14" s="6">
        <v>42369</v>
      </c>
      <c r="B14">
        <v>100.16</v>
      </c>
      <c r="C14">
        <f t="shared" si="0"/>
        <v>0.1709069999999997</v>
      </c>
      <c r="D14">
        <f t="shared" si="1"/>
        <v>0.17092564285986642</v>
      </c>
      <c r="E14">
        <v>100.16</v>
      </c>
      <c r="F14">
        <f t="shared" si="2"/>
        <v>0.1709069999999997</v>
      </c>
      <c r="G14">
        <f t="shared" si="3"/>
        <v>0.17092564285986642</v>
      </c>
      <c r="I14" s="6">
        <v>41274</v>
      </c>
      <c r="J14">
        <v>99.459282000000002</v>
      </c>
      <c r="K14" s="5">
        <f t="shared" si="4"/>
        <v>107.58328385041422</v>
      </c>
    </row>
    <row r="15" spans="1:12" ht="15" x14ac:dyDescent="0.25">
      <c r="A15" s="6">
        <v>42004</v>
      </c>
      <c r="B15">
        <v>99.989092999999997</v>
      </c>
      <c r="C15">
        <f t="shared" si="0"/>
        <v>-0.23072400000000926</v>
      </c>
      <c r="D15">
        <f t="shared" si="1"/>
        <v>-0.23021794182682379</v>
      </c>
      <c r="E15">
        <v>99.989092999999997</v>
      </c>
      <c r="F15">
        <f t="shared" si="2"/>
        <v>-0.23072400000000926</v>
      </c>
      <c r="G15">
        <f t="shared" si="3"/>
        <v>-0.23021794182682379</v>
      </c>
      <c r="I15" s="6">
        <v>41639</v>
      </c>
      <c r="J15">
        <v>100.21981700000001</v>
      </c>
      <c r="K15" s="5">
        <f t="shared" si="4"/>
        <v>108.74332340572865</v>
      </c>
    </row>
    <row r="16" spans="1:12" ht="15" x14ac:dyDescent="0.25">
      <c r="A16" s="6">
        <v>41639</v>
      </c>
      <c r="B16">
        <v>100.21981700000001</v>
      </c>
      <c r="C16">
        <f t="shared" si="0"/>
        <v>0.7605350000000044</v>
      </c>
      <c r="D16">
        <f t="shared" si="1"/>
        <v>0.76466970674492141</v>
      </c>
      <c r="E16">
        <v>100.21981700000001</v>
      </c>
      <c r="F16">
        <f t="shared" si="2"/>
        <v>0.7605350000000044</v>
      </c>
      <c r="G16">
        <f t="shared" si="3"/>
        <v>0.76466970674492141</v>
      </c>
      <c r="I16" s="6">
        <v>42004</v>
      </c>
      <c r="J16">
        <v>99.989092999999997</v>
      </c>
      <c r="K16" s="5">
        <f t="shared" si="4"/>
        <v>109.90069234185445</v>
      </c>
    </row>
    <row r="17" spans="1:12" ht="15" x14ac:dyDescent="0.25">
      <c r="A17" s="6">
        <v>41274</v>
      </c>
      <c r="B17">
        <v>99.459282000000002</v>
      </c>
      <c r="C17">
        <f t="shared" si="0"/>
        <v>2.119246000000004</v>
      </c>
      <c r="D17">
        <f t="shared" si="1"/>
        <v>2.1771576086123536</v>
      </c>
      <c r="E17">
        <v>99.459282000000002</v>
      </c>
      <c r="F17">
        <f t="shared" si="2"/>
        <v>2.119246000000004</v>
      </c>
      <c r="G17">
        <f t="shared" si="3"/>
        <v>2.1771576086123536</v>
      </c>
      <c r="I17" s="6">
        <v>42369</v>
      </c>
      <c r="J17">
        <v>100.16</v>
      </c>
      <c r="K17" s="5">
        <f t="shared" si="4"/>
        <v>111.06003951827459</v>
      </c>
    </row>
    <row r="18" spans="1:12" ht="15" x14ac:dyDescent="0.25">
      <c r="A18" s="6">
        <v>40907</v>
      </c>
      <c r="B18">
        <v>97.340035999999998</v>
      </c>
      <c r="C18">
        <f t="shared" si="0"/>
        <v>2.5465130000000045</v>
      </c>
      <c r="D18">
        <f t="shared" si="1"/>
        <v>2.6863786885523862</v>
      </c>
      <c r="E18">
        <v>97.340035999999998</v>
      </c>
      <c r="F18">
        <f t="shared" si="2"/>
        <v>2.5465130000000045</v>
      </c>
      <c r="G18">
        <f t="shared" si="3"/>
        <v>2.6863786885523862</v>
      </c>
      <c r="I18" s="6">
        <v>42734</v>
      </c>
      <c r="J18">
        <v>101.26</v>
      </c>
      <c r="K18" s="5">
        <f t="shared" si="4"/>
        <v>112.2321191417201</v>
      </c>
    </row>
    <row r="19" spans="1:12" ht="15" x14ac:dyDescent="0.25">
      <c r="A19" s="6">
        <v>40543</v>
      </c>
      <c r="B19">
        <v>94.793522999999993</v>
      </c>
      <c r="C19">
        <f t="shared" si="0"/>
        <v>1.9825209999999913</v>
      </c>
      <c r="D19">
        <f t="shared" si="1"/>
        <v>2.1360840388297837</v>
      </c>
      <c r="E19">
        <v>94.793522999999993</v>
      </c>
      <c r="F19">
        <f t="shared" si="2"/>
        <v>1.9825209999999913</v>
      </c>
      <c r="G19">
        <f t="shared" si="3"/>
        <v>2.1360840388297837</v>
      </c>
      <c r="I19" s="6">
        <v>43098</v>
      </c>
      <c r="J19">
        <v>102.57</v>
      </c>
      <c r="K19" s="5">
        <f t="shared" si="4"/>
        <v>113.41936195207767</v>
      </c>
    </row>
    <row r="20" spans="1:12" ht="15" x14ac:dyDescent="0.25">
      <c r="A20" s="6">
        <v>40178</v>
      </c>
      <c r="B20">
        <v>92.811002000000002</v>
      </c>
      <c r="C20">
        <f t="shared" si="0"/>
        <v>0.73489899999999864</v>
      </c>
      <c r="D20">
        <f t="shared" si="1"/>
        <v>0.79814303174842072</v>
      </c>
      <c r="E20">
        <v>92.811002000000002</v>
      </c>
      <c r="F20">
        <f t="shared" si="2"/>
        <v>0.73489899999999864</v>
      </c>
      <c r="G20">
        <f t="shared" si="3"/>
        <v>0.79814303174842072</v>
      </c>
      <c r="I20" s="6">
        <v>43465</v>
      </c>
      <c r="J20">
        <v>104.1</v>
      </c>
      <c r="K20" s="5">
        <f t="shared" si="4"/>
        <v>114.62431443875235</v>
      </c>
    </row>
    <row r="21" spans="1:12" ht="15" x14ac:dyDescent="0.25">
      <c r="A21" s="6">
        <v>39813</v>
      </c>
      <c r="B21">
        <v>92.076103000000003</v>
      </c>
      <c r="C21">
        <f t="shared" si="0"/>
        <v>1.3928920000000033</v>
      </c>
      <c r="D21">
        <f t="shared" si="1"/>
        <v>1.5359976611326691</v>
      </c>
      <c r="E21">
        <v>92.076103000000003</v>
      </c>
      <c r="F21">
        <f t="shared" si="2"/>
        <v>1.3928920000000033</v>
      </c>
      <c r="G21">
        <f t="shared" si="3"/>
        <v>1.5359976611326691</v>
      </c>
      <c r="I21" s="6">
        <v>43830</v>
      </c>
      <c r="J21">
        <v>105.13</v>
      </c>
      <c r="K21" s="5">
        <f t="shared" si="4"/>
        <v>115.84118912582353</v>
      </c>
    </row>
    <row r="22" spans="1:12" ht="15" x14ac:dyDescent="0.25">
      <c r="A22" s="6">
        <v>39447</v>
      </c>
      <c r="B22">
        <v>90.683211</v>
      </c>
      <c r="C22">
        <f t="shared" si="0"/>
        <v>2.7003289999999964</v>
      </c>
      <c r="D22">
        <f t="shared" si="1"/>
        <v>3.0691527017721429</v>
      </c>
      <c r="E22">
        <v>90.683211</v>
      </c>
      <c r="F22">
        <f t="shared" si="2"/>
        <v>2.7003289999999964</v>
      </c>
      <c r="G22">
        <f t="shared" si="3"/>
        <v>3.0691527017721429</v>
      </c>
      <c r="I22" s="6">
        <v>44196</v>
      </c>
      <c r="J22">
        <v>104.7</v>
      </c>
      <c r="K22" s="5">
        <f t="shared" si="4"/>
        <v>117.05308658360298</v>
      </c>
    </row>
    <row r="23" spans="1:12" ht="15" x14ac:dyDescent="0.25">
      <c r="A23" s="6">
        <v>39080</v>
      </c>
      <c r="B23">
        <v>87.982882000000004</v>
      </c>
      <c r="C23">
        <f t="shared" si="0"/>
        <v>1.5894339999999971</v>
      </c>
      <c r="D23">
        <f t="shared" si="1"/>
        <v>1.8397622004853853</v>
      </c>
      <c r="E23">
        <v>87.982882000000004</v>
      </c>
      <c r="F23">
        <f t="shared" si="2"/>
        <v>1.5894339999999971</v>
      </c>
      <c r="G23">
        <f t="shared" si="3"/>
        <v>1.8397622004853853</v>
      </c>
      <c r="I23" s="6">
        <v>44561</v>
      </c>
      <c r="J23">
        <v>109.97</v>
      </c>
      <c r="K23" s="5">
        <f t="shared" si="4"/>
        <v>118.32598403758583</v>
      </c>
    </row>
    <row r="24" spans="1:12" ht="15" x14ac:dyDescent="0.25">
      <c r="A24" s="6">
        <v>38716</v>
      </c>
      <c r="B24">
        <v>86.393448000000006</v>
      </c>
      <c r="E24">
        <v>86.393448000000006</v>
      </c>
      <c r="I24" s="1">
        <v>44925</v>
      </c>
      <c r="J24">
        <v>120.7</v>
      </c>
      <c r="K24" s="5">
        <f t="shared" si="4"/>
        <v>119.72308072482535</v>
      </c>
      <c r="L24" s="3">
        <f>+(K24-K7)/100</f>
        <v>0.19723080724825351</v>
      </c>
    </row>
  </sheetData>
  <sortState xmlns:xlrd2="http://schemas.microsoft.com/office/spreadsheetml/2017/richdata2" ref="I7:J24">
    <sortCondition ref="I7:I24"/>
  </sortState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Worksheet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lzweig</dc:creator>
  <cp:lastModifiedBy>Primetzhofer Alexandra 0663 EH</cp:lastModifiedBy>
  <dcterms:created xsi:type="dcterms:W3CDTF">2013-04-03T15:49:21Z</dcterms:created>
  <dcterms:modified xsi:type="dcterms:W3CDTF">2023-05-03T12:18:21Z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939b85-7e40-4a1d-91e1-0e84c3b219d7_Enabled">
    <vt:lpwstr>true</vt:lpwstr>
  </property>
  <property fmtid="{D5CDD505-2E9C-101B-9397-08002B2CF9AE}" pid="3" name="MSIP_Label_38939b85-7e40-4a1d-91e1-0e84c3b219d7_SetDate">
    <vt:lpwstr>2023-05-03T11:17:28Z</vt:lpwstr>
  </property>
  <property fmtid="{D5CDD505-2E9C-101B-9397-08002B2CF9AE}" pid="4" name="MSIP_Label_38939b85-7e40-4a1d-91e1-0e84c3b219d7_Method">
    <vt:lpwstr>Standard</vt:lpwstr>
  </property>
  <property fmtid="{D5CDD505-2E9C-101B-9397-08002B2CF9AE}" pid="5" name="MSIP_Label_38939b85-7e40-4a1d-91e1-0e84c3b219d7_Name">
    <vt:lpwstr>38939b85-7e40-4a1d-91e1-0e84c3b219d7</vt:lpwstr>
  </property>
  <property fmtid="{D5CDD505-2E9C-101B-9397-08002B2CF9AE}" pid="6" name="MSIP_Label_38939b85-7e40-4a1d-91e1-0e84c3b219d7_SiteId">
    <vt:lpwstr>3ad0376a-54d3-49a6-9e20-52de0a92fc89</vt:lpwstr>
  </property>
  <property fmtid="{D5CDD505-2E9C-101B-9397-08002B2CF9AE}" pid="7" name="MSIP_Label_38939b85-7e40-4a1d-91e1-0e84c3b219d7_ActionId">
    <vt:lpwstr>90ba2e47-fd8b-40e4-9f5c-a5b0cc2d947e</vt:lpwstr>
  </property>
  <property fmtid="{D5CDD505-2E9C-101B-9397-08002B2CF9AE}" pid="8" name="MSIP_Label_38939b85-7e40-4a1d-91e1-0e84c3b219d7_ContentBits">
    <vt:lpwstr>0</vt:lpwstr>
  </property>
</Properties>
</file>