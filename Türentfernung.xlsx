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stegroup-my.sharepoint.com/personal/a960hfc_s-mxs_net/Documents/OD4BMigration/Erzherzog-Rainergasse/Hauskauf/Umbau/"/>
    </mc:Choice>
  </mc:AlternateContent>
  <xr:revisionPtr revIDLastSave="81" documentId="8_{506BE716-18F2-4C32-9FC0-28645EADBA80}" xr6:coauthVersionLast="47" xr6:coauthVersionMax="47" xr10:uidLastSave="{31C790E3-92D4-45D3-81F9-F569F53BF540}"/>
  <bookViews>
    <workbookView xWindow="7620" yWindow="3555" windowWidth="17325" windowHeight="9690" xr2:uid="{220083D4-302F-4CB0-AD3E-84DD190E62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J15" i="1"/>
  <c r="J11" i="1"/>
  <c r="J8" i="1"/>
  <c r="G6" i="1"/>
  <c r="G9" i="1"/>
  <c r="G10" i="1"/>
  <c r="G8" i="1"/>
  <c r="G7" i="1"/>
  <c r="F3" i="1"/>
  <c r="F4" i="1" s="1"/>
  <c r="E8" i="1"/>
  <c r="E9" i="1"/>
  <c r="E7" i="1"/>
</calcChain>
</file>

<file path=xl/sharedStrings.xml><?xml version="1.0" encoding="utf-8"?>
<sst xmlns="http://schemas.openxmlformats.org/spreadsheetml/2006/main" count="7" uniqueCount="7">
  <si>
    <t>Hilmar</t>
  </si>
  <si>
    <t>Wanddurchbruch</t>
  </si>
  <si>
    <t>1h</t>
  </si>
  <si>
    <t>Geasmtkosten:</t>
  </si>
  <si>
    <t>Std</t>
  </si>
  <si>
    <t xml:space="preserve">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</si>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</sst>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43" formatCode="_-* #,##0.00_-;\-* #,##0.00_-;_-* &quot;-&quot;??_-;_-@_-"/>
  </numFmts>
  <fonts count="4" x14ac:knownFonts="1">
    <font>
      <sz val="11"/>
      <color theme="1"/>
      <name val="Inter"/>
      <family val="2"/>
    </font>
    <font>
      <sz val="11"/>
      <color theme="1"/>
      <name val="Inter"/>
      <family val="2"/>
    </font>
    <font>
      <sz val="11"/>
      <color rgb="FFFF0000"/>
      <name val="Inter"/>
      <family val="2"/>
    </font>
    <font>
      <b/>
      <sz val="11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0" fontId="0" fillId="0" borderId="0" xfId="0" applyNumberFormat="1"/>
    <xf numFmtId="44" fontId="0" fillId="0" borderId="0" xfId="0" applyNumberFormat="1"/>
    <xf numFmtId="20" fontId="3" fillId="0" borderId="1" xfId="0" applyNumberFormat="1" applyFont="1" applyBorder="1"/>
    <xf numFmtId="0" fontId="3" fillId="0" borderId="2" xfId="0" applyFont="1" applyBorder="1"/>
    <xf numFmtId="20" fontId="3" fillId="0" borderId="3" xfId="0" applyNumberFormat="1" applyFont="1" applyBorder="1"/>
    <xf numFmtId="0" fontId="3" fillId="0" borderId="4" xfId="0" applyFont="1" applyBorder="1"/>
    <xf numFmtId="20" fontId="3" fillId="0" borderId="5" xfId="0" applyNumberFormat="1" applyFont="1" applyBorder="1"/>
    <xf numFmtId="0" fontId="3" fillId="0" borderId="6" xfId="0" applyFont="1" applyBorder="1"/>
    <xf numFmtId="0" fontId="2" fillId="2" borderId="7" xfId="0" applyFont="1" applyFill="1" applyBorder="1" applyAlignment="1">
      <alignment horizontal="right"/>
    </xf>
    <xf numFmtId="44" fontId="2" fillId="2" borderId="8" xfId="0" applyNumberFormat="1" applyFont="1" applyFill="1" applyBorder="1"/>
    <xf numFmtId="43" fontId="0" fillId="0" borderId="0" xfId="1" applyFont="1"/>
    <xf numFmtId="0" fontId="0" fillId="2" borderId="7" xfId="0" applyFill="1" applyBorder="1" applyAlignment="1">
      <alignment horizontal="right"/>
    </xf>
    <xf numFmtId="0" fontId="0" fillId="2" borderId="9" xfId="0" applyFill="1" applyBorder="1"/>
    <xf numFmtId="44" fontId="3" fillId="2" borderId="8" xfId="0" applyNumberFormat="1" applyFont="1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98C7-095F-49DA-A1DE-7E98266AA407}">
  <dimension ref="B1:J15"/>
  <sheetViews>
    <sheetView tabSelected="1" workbookViewId="0">
      <selection activeCell="C10" sqref="C10"/>
    </sheetView>
  </sheetViews>
  <sheetFormatPr baseColWidth="10" defaultRowHeight="16.8" x14ac:dyDescent="0.8"/>
  <cols>
    <col min="5" max="5" width="12.0390625" customWidth="1"/>
    <col min="6" max="6" width="5.875" bestFit="1" customWidth="1"/>
    <col min="10" max="10" width="16.625" bestFit="1" customWidth="1"/>
  </cols>
  <sheetData>
    <row r="1" spans="2:10" ht="17.100000000000001" thickBot="1" x14ac:dyDescent="0.85"/>
    <row r="2" spans="2:10" ht="17.7" thickBot="1" x14ac:dyDescent="0.9">
      <c r="C2" s="10" t="s">
        <v>2</v>
      </c>
      <c r="D2" s="11">
        <v>35</v>
      </c>
      <c r="E2" s="4">
        <v>4.1666666666666664E-2</v>
      </c>
      <c r="F2" s="5">
        <v>35</v>
      </c>
    </row>
    <row r="3" spans="2:10" ht="17.399999999999999" x14ac:dyDescent="0.85">
      <c r="B3" t="s">
        <v>0</v>
      </c>
      <c r="E3" s="6">
        <v>2.0833333333333332E-2</v>
      </c>
      <c r="F3" s="7">
        <f>+F2/2</f>
        <v>17.5</v>
      </c>
    </row>
    <row r="4" spans="2:10" ht="17.7" thickBot="1" x14ac:dyDescent="0.9">
      <c r="B4" t="s">
        <v>1</v>
      </c>
      <c r="E4" s="8">
        <v>1.0416666666666666E-2</v>
      </c>
      <c r="F4" s="9">
        <f>+F3/2</f>
        <v>8.75</v>
      </c>
    </row>
    <row r="5" spans="2:10" ht="17.100000000000001" thickBot="1" x14ac:dyDescent="0.85"/>
    <row r="6" spans="2:10" ht="17.7" thickBot="1" x14ac:dyDescent="0.9">
      <c r="E6" s="13" t="s">
        <v>3</v>
      </c>
      <c r="F6" s="14" t="s">
        <v>4</v>
      </c>
      <c r="G6" s="15">
        <f>SUM(G7:G16)</f>
        <v>437.5</v>
      </c>
      <c r="J6" s="12">
        <v>2577614.91</v>
      </c>
    </row>
    <row r="7" spans="2:10" x14ac:dyDescent="0.8">
      <c r="B7" s="1">
        <v>45672</v>
      </c>
      <c r="C7" s="2">
        <v>0.73958333333333337</v>
      </c>
      <c r="D7" s="2">
        <v>0.80208333333333337</v>
      </c>
      <c r="E7" s="2">
        <f>+D7-C7</f>
        <v>6.25E-2</v>
      </c>
      <c r="F7" s="12">
        <v>1.5</v>
      </c>
      <c r="G7" s="3">
        <f>+F7*+$D$2</f>
        <v>52.5</v>
      </c>
      <c r="J7">
        <v>4.25875</v>
      </c>
    </row>
    <row r="8" spans="2:10" x14ac:dyDescent="0.8">
      <c r="B8" s="1">
        <v>45673</v>
      </c>
      <c r="C8" s="2">
        <v>0.35416666666666669</v>
      </c>
      <c r="D8" s="2">
        <v>0.51041666666666663</v>
      </c>
      <c r="E8" s="2">
        <f t="shared" ref="E8:E12" si="0">+D8-C8</f>
        <v>0.15624999999999994</v>
      </c>
      <c r="F8" s="12">
        <v>3.75</v>
      </c>
      <c r="G8" s="3">
        <f>+F8*+$D$2</f>
        <v>131.25</v>
      </c>
      <c r="J8">
        <f>+J6/J7</f>
        <v>605251.51981215144</v>
      </c>
    </row>
    <row r="9" spans="2:10" x14ac:dyDescent="0.8">
      <c r="C9" s="2">
        <v>0.60416666666666663</v>
      </c>
      <c r="D9" s="2">
        <v>0.64583333333333337</v>
      </c>
      <c r="E9" s="2">
        <f t="shared" si="0"/>
        <v>4.1666666666666741E-2</v>
      </c>
      <c r="F9" s="12">
        <v>1</v>
      </c>
      <c r="G9" s="3">
        <f t="shared" ref="G9:G10" si="1">+F9*+$D$2</f>
        <v>35</v>
      </c>
      <c r="J9" s="12">
        <v>100000000</v>
      </c>
    </row>
    <row r="10" spans="2:10" x14ac:dyDescent="0.8">
      <c r="B10" s="1">
        <v>45674</v>
      </c>
      <c r="C10" s="2">
        <v>0.34375</v>
      </c>
      <c r="D10" s="2">
        <v>0.75</v>
      </c>
      <c r="E10" s="2">
        <f>+D10-C10</f>
        <v>0.40625</v>
      </c>
      <c r="F10" s="12">
        <v>6.25</v>
      </c>
      <c r="G10" s="3">
        <f t="shared" si="1"/>
        <v>218.75</v>
      </c>
      <c r="J10">
        <v>25.265499999999999</v>
      </c>
    </row>
    <row r="11" spans="2:10" x14ac:dyDescent="0.8">
      <c r="B11" s="1">
        <v>45675</v>
      </c>
      <c r="C11" s="2">
        <v>0.375</v>
      </c>
      <c r="E11" s="2" t="s">
        <v>5</v>
      </c>
      <c r="J11" s="12">
        <f>+J9/J10</f>
        <v>3957966.3968652906</v>
      </c>
    </row>
    <row r="12" spans="2:10" x14ac:dyDescent="0.8">
      <c r="E12" s="2" t="s">
        <v>6</v>
      </c>
    </row>
    <row r="13" spans="2:10" x14ac:dyDescent="0.8">
      <c r="J13" s="12">
        <v>4460679438</v>
      </c>
    </row>
    <row r="14" spans="2:10" x14ac:dyDescent="0.8">
      <c r="J14" s="12">
        <v>452880146</v>
      </c>
    </row>
    <row r="15" spans="2:10" x14ac:dyDescent="0.8">
      <c r="J15" s="12">
        <f>+J14-J13</f>
        <v>-4007799292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 IT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Primetzhofer Alexandra 0663 EH</dc:creator>
  <cp:lastModifiedBy>Primetzhofer Alexandra 0663 EH</cp:lastModifiedBy>
  <dcterms:created xsi:type="dcterms:W3CDTF">2025-01-17T11:39:49Z</dcterms:created>
  <dcterms:modified xsi:type="dcterms:W3CDTF">2025-01-18T08:53:46Z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2025-01-17T11:41:38Z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ca66acff-07b1-41b3-8a24-dae461907c32</vt:lpwstr>
  </property>
  <property fmtid="{D5CDD505-2E9C-101B-9397-08002B2CF9AE}" pid="8" name="MSIP_Label_38939b85-7e40-4a1d-91e1-0e84c3b219d7_ContentBits">
    <vt:lpwstr>0</vt:lpwstr>
  </property>
</Properties>
</file>